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Patents\"/>
    </mc:Choice>
  </mc:AlternateContent>
  <xr:revisionPtr revIDLastSave="0" documentId="13_ncr:1_{36F80404-D386-49EF-B2FE-FDB0B858D78D}" xr6:coauthVersionLast="47" xr6:coauthVersionMax="47" xr10:uidLastSave="{00000000-0000-0000-0000-000000000000}"/>
  <bookViews>
    <workbookView xWindow="28680" yWindow="-120" windowWidth="29040" windowHeight="18240" xr2:uid="{57D6694C-50B2-4F0F-8F89-36CF1DB2DBF9}"/>
  </bookViews>
  <sheets>
    <sheet name="Patent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 a="1"/>
  <c r="E7" i="1" a="1"/>
  <c r="E8" i="1" a="1"/>
  <c r="E6" i="1" a="1"/>
  <c r="E5" i="1" a="1"/>
  <c r="E4" i="1" l="1"/>
  <c r="E5" i="1"/>
  <c r="E6" i="1"/>
  <c r="E8" i="1"/>
  <c r="E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<sst xmlns="http://schemas.openxmlformats.org/spreadsheetml/2006/main" count="26" uniqueCount="25">
  <si>
    <t>US3001710</t>
  </si>
  <si>
    <t>Magnetic Core Matrix</t>
  </si>
  <si>
    <t>US3049295</t>
  </si>
  <si>
    <t>Multiplying Computer</t>
  </si>
  <si>
    <t>US3199085</t>
  </si>
  <si>
    <t>Computer With Table Lookup Arithmetic Unit Features</t>
  </si>
  <si>
    <t>US3239654</t>
  </si>
  <si>
    <t>Dividing Computer</t>
  </si>
  <si>
    <t>US3328767</t>
  </si>
  <si>
    <t>Compact Data Lookup Tables</t>
  </si>
  <si>
    <t>Patent #</t>
  </si>
  <si>
    <t>Date</t>
  </si>
  <si>
    <t>Title</t>
  </si>
  <si>
    <t>Inventor(s)</t>
  </si>
  <si>
    <t>Munro King Haynes</t>
  </si>
  <si>
    <t>William H. Rhodes, James G. Brenza, Wayne D. Winger, Robert C. Jackson</t>
  </si>
  <si>
    <t>Robert C. Jackson, William A. Florac, Carmel, Wayne D. Winger</t>
  </si>
  <si>
    <t>Gerald H. Ottaway</t>
  </si>
  <si>
    <t>IBM 1620 Patents</t>
  </si>
  <si>
    <t>September 26, 1961</t>
  </si>
  <si>
    <t>August 14, 1962</t>
  </si>
  <si>
    <t>August 3, 1965</t>
  </si>
  <si>
    <t>March 8, 1966</t>
  </si>
  <si>
    <t>June 27, 1976</t>
  </si>
  <si>
    <t>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</si>
</sst>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rial"/>
      <family val="2"/>
    </font>
    <font>
      <sz val="12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0" fontId="19" fillId="0" borderId="10" xfId="0" applyFont="1" applyBorder="1" applyAlignment="1">
      <alignment horizontal="center"/>
    </xf>
    <xf numFmtId="0" fontId="19" fillId="0" borderId="10" xfId="0" applyFont="1" applyBorder="1"/>
    <xf numFmtId="49" fontId="20" fillId="0" borderId="12" xfId="0" applyNumberFormat="1" applyFont="1" applyBorder="1" applyAlignment="1">
      <alignment vertical="top"/>
    </xf>
    <xf numFmtId="49" fontId="20" fillId="0" borderId="15" xfId="0" applyNumberFormat="1" applyFont="1" applyBorder="1" applyAlignment="1">
      <alignment vertical="top" wrapText="1"/>
    </xf>
    <xf numFmtId="49" fontId="20" fillId="0" borderId="18" xfId="0" applyNumberFormat="1" applyFont="1" applyBorder="1" applyAlignment="1">
      <alignment vertical="top" wrapText="1"/>
    </xf>
    <xf numFmtId="49" fontId="20" fillId="0" borderId="15" xfId="0" applyNumberFormat="1" applyFont="1" applyBorder="1" applyAlignment="1">
      <alignment vertical="top"/>
    </xf>
    <xf numFmtId="0" fontId="0" fillId="0" borderId="0" xfId="0" applyAlignment="1">
      <alignment horizontal="left"/>
    </xf>
    <xf numFmtId="0" fontId="19" fillId="0" borderId="10" xfId="0" applyFont="1" applyBorder="1" applyAlignment="1">
      <alignment horizontal="left"/>
    </xf>
    <xf numFmtId="49" fontId="20" fillId="0" borderId="12" xfId="0" applyNumberFormat="1" applyFont="1" applyBorder="1" applyAlignment="1">
      <alignment horizontal="left" vertical="top"/>
    </xf>
    <xf numFmtId="49" fontId="20" fillId="0" borderId="15" xfId="0" applyNumberFormat="1" applyFont="1" applyBorder="1" applyAlignment="1">
      <alignment horizontal="left" vertical="top"/>
    </xf>
    <xf numFmtId="49" fontId="20" fillId="0" borderId="15" xfId="0" applyNumberFormat="1" applyFont="1" applyBorder="1" applyAlignment="1">
      <alignment horizontal="left" vertical="top" wrapText="1"/>
    </xf>
    <xf numFmtId="49" fontId="20" fillId="0" borderId="18" xfId="0" applyNumberFormat="1" applyFont="1" applyBorder="1" applyAlignment="1">
      <alignment horizontal="left" vertical="top" wrapText="1"/>
    </xf>
    <xf numFmtId="49" fontId="22" fillId="0" borderId="11" xfId="42" applyNumberFormat="1" applyFont="1" applyBorder="1" applyAlignment="1">
      <alignment horizontal="center" vertical="top"/>
    </xf>
    <xf numFmtId="49" fontId="22" fillId="0" borderId="14" xfId="42" applyNumberFormat="1" applyFont="1" applyBorder="1" applyAlignment="1">
      <alignment horizontal="center" vertical="top"/>
    </xf>
    <xf numFmtId="49" fontId="22" fillId="0" borderId="14" xfId="42" applyNumberFormat="1" applyFont="1" applyBorder="1" applyAlignment="1">
      <alignment horizontal="center" vertical="top" wrapText="1"/>
    </xf>
    <xf numFmtId="49" fontId="22" fillId="0" borderId="17" xfId="42" applyNumberFormat="1" applyFont="1" applyBorder="1" applyAlignment="1">
      <alignment horizontal="center" vertical="top" wrapText="1"/>
    </xf>
    <xf numFmtId="0" fontId="19" fillId="0" borderId="0" xfId="0" applyFont="1"/>
    <xf numFmtId="0" fontId="23" fillId="0" borderId="13" xfId="0" applyFont="1" applyBorder="1" applyAlignment="1">
      <alignment vertical="top" wrapText="1"/>
    </xf>
    <xf numFmtId="0" fontId="23" fillId="0" borderId="16" xfId="0" applyFont="1" applyBorder="1" applyAlignment="1">
      <alignment vertical="top" wrapText="1"/>
    </xf>
    <xf numFmtId="0" fontId="23" fillId="0" borderId="19" xfId="0" applyFont="1" applyBorder="1" applyAlignment="1">
      <alignment vertical="top" wrapText="1"/>
    </xf>
    <xf numFmtId="49" fontId="18" fillId="0" borderId="0" xfId="0" applyNumberFormat="1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990600</xdr:colOff>
      <xdr:row>0</xdr:row>
      <xdr:rowOff>47625</xdr:rowOff>
    </xdr:from>
    <xdr:to>
      <xdr:col>4</xdr:col>
      <xdr:colOff>552308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8B9BC442-8382-4123-AA88-ACF58B910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5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A219A-6190-4228-8FA4-FF8F20776433}">
  <sheetPr codeName="Sheet1"/>
  <dimension ref="A1:E8"/>
  <sheetViews>
    <sheetView tabSelected="1" workbookViewId="0">
      <selection sqref="A1:E1"/>
    </sheetView>
  </sheetViews>
  <sheetFormatPr defaultRowHeight="14.25"/>
  <cols>
    <col min="1" max="1" width="16.625" style="1" customWidth="1"/>
    <col min="2" max="2" width="50.625" customWidth="1"/>
    <col min="3" max="3" width="44.625" customWidth="1"/>
    <col min="4" max="4" width="20.625" style="8" customWidth="1"/>
    <col min="5" max="5" width="70.625" customWidth="1"/>
  </cols>
  <sheetData>
    <row r="1" spans="1:5" ht="26.25">
      <c r="A1" s="22" t="s">
        <v>18</v>
      </c>
      <c r="B1" s="23"/>
      <c r="C1" s="23"/>
      <c r="D1" s="23"/>
      <c r="E1" s="23"/>
    </row>
    <row r="3" spans="1:5" ht="18.75" thickBot="1">
      <c r="A3" s="2" t="s">
        <v>10</v>
      </c>
      <c r="B3" s="3" t="s">
        <v>12</v>
      </c>
      <c r="C3" s="3" t="s">
        <v>13</v>
      </c>
      <c r="D3" s="9" t="s">
        <v>11</v>
      </c>
      <c r="E3" s="18" t="s">
        <v>24</v>
      </c>
    </row>
    <row r="4" spans="1:5" ht="15">
      <c r="A4" s="14" t="s">
        <v>0</v>
      </c>
      <c r="B4" s="4" t="s">
        <v>1</v>
      </c>
      <c r="C4" s="4" t="s">
        <v>14</v>
      </c>
      <c r="D4" s="10" t="s">
        <v>19</v>
      </c>
      <c r="E4" s="19" t="str" cm="1">
        <f t="array" ref="E4">ProcessFilename(_xlfn.CONCAT(A4," ",B4), "", D4)</f>
        <v>US3001710 Magnetic Core Matrix -- September 26, 1961.pdf</v>
      </c>
    </row>
    <row r="5" spans="1:5" ht="30">
      <c r="A5" s="15" t="s">
        <v>2</v>
      </c>
      <c r="B5" s="7" t="s">
        <v>3</v>
      </c>
      <c r="C5" s="5" t="s">
        <v>15</v>
      </c>
      <c r="D5" s="11" t="s">
        <v>20</v>
      </c>
      <c r="E5" s="20" t="str" cm="1">
        <f t="array" ref="E5">ProcessFilename(_xlfn.CONCAT(A5," ",B5), "", D5)</f>
        <v>US3049295 Multiplying Computer -- August 14, 1962.pdf</v>
      </c>
    </row>
    <row r="6" spans="1:5" ht="30">
      <c r="A6" s="16" t="s">
        <v>4</v>
      </c>
      <c r="B6" s="5" t="s">
        <v>5</v>
      </c>
      <c r="C6" s="5" t="s">
        <v>15</v>
      </c>
      <c r="D6" s="12" t="s">
        <v>21</v>
      </c>
      <c r="E6" s="20" t="str" cm="1">
        <f t="array" ref="E6">ProcessFilename(_xlfn.CONCAT(A6," ",B6), "", D6)</f>
        <v>US3199085 Computer With Table Lookup Arithmetic Unit Features -- August 3, 1965.pdf</v>
      </c>
    </row>
    <row r="7" spans="1:5" ht="30">
      <c r="A7" s="16" t="s">
        <v>6</v>
      </c>
      <c r="B7" s="5" t="s">
        <v>7</v>
      </c>
      <c r="C7" s="5" t="s">
        <v>16</v>
      </c>
      <c r="D7" s="12" t="s">
        <v>22</v>
      </c>
      <c r="E7" s="20" t="str" cm="1">
        <f t="array" ref="E7">ProcessFilename(_xlfn.CONCAT(A7," ",B7), "", D7)</f>
        <v>US3239654 Dividing Computer -- March 8, 1966.pdf</v>
      </c>
    </row>
    <row r="8" spans="1:5" ht="15.75" thickBot="1">
      <c r="A8" s="17" t="s">
        <v>8</v>
      </c>
      <c r="B8" s="6" t="s">
        <v>9</v>
      </c>
      <c r="C8" s="6" t="s">
        <v>17</v>
      </c>
      <c r="D8" s="13" t="s">
        <v>23</v>
      </c>
      <c r="E8" s="21" t="str" cm="1">
        <f t="array" ref="E8">ProcessFilename(_xlfn.CONCAT(A8," ",B8), "", D8)</f>
        <v>US3328767 Compact Data Lookup Tables -- June 27, 1976.pdf</v>
      </c>
    </row>
  </sheetData>
  <mergeCells count="1">
    <mergeCell ref="A1:E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2025-04-24T23:31:09Z</dcterms:created>
  <dcterms:modified xsi:type="dcterms:W3CDTF">2026-02-28T03:24:01Z</dcterms:modified>
</cp:coreProperties>
</file>