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Specifications\"/>
    </mc:Choice>
  </mc:AlternateContent>
  <xr:revisionPtr revIDLastSave="0" documentId="13_ncr:1_{FF8ED65B-9C25-487D-BAFB-6F6C1B94BEC2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 a="1"/>
  <c r="D10" i="1" a="1"/>
  <c r="D9" i="1" a="1"/>
  <c r="D8" i="1" a="1"/>
  <c r="D7" i="1" a="1"/>
  <c r="D5" i="1" a="1"/>
  <c r="D4" i="1" a="1"/>
  <c r="D6" i="1" l="1"/>
  <c r="D4" i="1"/>
  <c r="D5" i="1"/>
  <c r="D7" i="1"/>
  <c r="D8" i="1"/>
  <c r="D9" i="1"/>
  <c r="D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<sst xmlns="http://schemas.openxmlformats.org/spreadsheetml/2006/main" count="25" uniqueCount="17">
  <si>
    <t>Title</t>
  </si>
  <si>
    <t>Date</t>
  </si>
  <si>
    <t>Author(s)</t>
  </si>
  <si>
    <t>Preliminary Functional Specifications CADET Computer</t>
  </si>
  <si>
    <t>R.C. Jackson, R.F. Dean</t>
  </si>
  <si>
    <t>IBM 1620 Models</t>
  </si>
  <si>
    <t>Dave Babcock</t>
  </si>
  <si>
    <t>February 2008</t>
  </si>
  <si>
    <t>IBM 1620 Specifications</t>
  </si>
  <si>
    <t>IBM 1620 Character Codes</t>
  </si>
  <si>
    <t>IBM 1620 Instructions</t>
  </si>
  <si>
    <t>IBM 1620 Front Panels</t>
  </si>
  <si>
    <t>July 31, 1959</t>
  </si>
  <si>
    <t>Filename</t>
  </si>
  <si>
    <t>IBM 1620 I/O Characters &amp; Codes</t>
  </si>
  <si>
    <t>IBM</t>
  </si>
  <si>
    <t>IBM 1620 Indirect Addressing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</si>
</sst>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u/>
      <sz val="11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6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/>
    <xf numFmtId="0" fontId="21" fillId="0" borderId="10" xfId="0" applyFont="1" applyBorder="1"/>
    <xf numFmtId="0" fontId="19" fillId="0" borderId="11" xfId="0" applyFont="1" applyBorder="1"/>
    <xf numFmtId="49" fontId="19" fillId="0" borderId="11" xfId="0" applyNumberFormat="1" applyFont="1" applyBorder="1" applyAlignment="1">
      <alignment horizontal="left"/>
    </xf>
    <xf numFmtId="0" fontId="19" fillId="0" borderId="12" xfId="0" applyFont="1" applyBorder="1" applyAlignment="1">
      <alignment vertical="top" wrapText="1"/>
    </xf>
    <xf numFmtId="0" fontId="21" fillId="0" borderId="13" xfId="0" applyFont="1" applyBorder="1"/>
    <xf numFmtId="0" fontId="19" fillId="0" borderId="14" xfId="0" applyFont="1" applyBorder="1"/>
    <xf numFmtId="49" fontId="19" fillId="0" borderId="14" xfId="0" applyNumberFormat="1" applyFont="1" applyBorder="1" applyAlignment="1">
      <alignment horizontal="left"/>
    </xf>
    <xf numFmtId="0" fontId="19" fillId="0" borderId="15" xfId="0" applyFont="1" applyBorder="1" applyAlignment="1">
      <alignment vertical="top" wrapText="1"/>
    </xf>
    <xf numFmtId="0" fontId="21" fillId="0" borderId="16" xfId="0" applyFont="1" applyBorder="1"/>
    <xf numFmtId="0" fontId="19" fillId="0" borderId="17" xfId="0" applyFont="1" applyBorder="1" applyAlignment="1">
      <alignment vertical="top" wrapText="1"/>
    </xf>
    <xf numFmtId="49" fontId="19" fillId="0" borderId="17" xfId="0" applyNumberFormat="1" applyFont="1" applyBorder="1" applyAlignment="1">
      <alignment horizontal="left" vertical="top" wrapText="1"/>
    </xf>
    <xf numFmtId="0" fontId="19" fillId="0" borderId="18" xfId="0" applyFont="1" applyBorder="1" applyAlignment="1">
      <alignment vertical="top" wrapText="1"/>
    </xf>
    <xf numFmtId="0" fontId="19" fillId="0" borderId="15" xfId="0" applyFont="1" applyBorder="1"/>
    <xf numFmtId="0" fontId="21" fillId="0" borderId="13" xfId="42" applyFont="1" applyBorder="1"/>
    <xf numFmtId="49" fontId="20" fillId="0" borderId="0" xfId="0" applyNumberFormat="1" applyFont="1" applyAlignment="1">
      <alignment horizontal="left"/>
    </xf>
    <xf numFmtId="0" fontId="19" fillId="0" borderId="20" xfId="0" applyFont="1" applyBorder="1"/>
    <xf numFmtId="49" fontId="19" fillId="0" borderId="20" xfId="0" applyNumberFormat="1" applyFont="1" applyBorder="1" applyAlignment="1">
      <alignment horizontal="left"/>
    </xf>
    <xf numFmtId="0" fontId="19" fillId="0" borderId="19" xfId="0" applyFont="1" applyBorder="1"/>
    <xf numFmtId="0" fontId="19" fillId="0" borderId="21" xfId="0" applyFont="1" applyBorder="1"/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66675</xdr:rowOff>
    </xdr:from>
    <xdr:to>
      <xdr:col>3</xdr:col>
      <xdr:colOff>1190483</xdr:colOff>
      <xdr:row>0</xdr:row>
      <xdr:rowOff>314294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CDCC34BE-B7F5-42BF-BD01-4590A671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6667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10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24" t="s">
        <v>8</v>
      </c>
      <c r="B1" s="25"/>
      <c r="C1" s="25"/>
      <c r="D1" s="25"/>
    </row>
    <row r="2" spans="1:4" ht="15">
      <c r="A2" s="1"/>
      <c r="B2" s="1"/>
      <c r="C2" s="2"/>
    </row>
    <row r="3" spans="1:4" ht="18.75" thickBot="1">
      <c r="A3" s="4" t="s">
        <v>0</v>
      </c>
      <c r="B3" s="4" t="s">
        <v>2</v>
      </c>
      <c r="C3" s="19" t="s">
        <v>1</v>
      </c>
      <c r="D3" s="4" t="s">
        <v>13</v>
      </c>
    </row>
    <row r="4" spans="1:4" ht="15">
      <c r="A4" s="5" t="s">
        <v>9</v>
      </c>
      <c r="B4" s="6" t="s">
        <v>6</v>
      </c>
      <c r="C4" s="7" t="s">
        <v>7</v>
      </c>
      <c r="D4" s="8" t="str" cm="1">
        <f t="array" ref="D4">ProcessFilename(A4, "", C4)</f>
        <v>IBM 1620 Character Codes -- February 2008.pdf</v>
      </c>
    </row>
    <row r="5" spans="1:4" ht="15">
      <c r="A5" s="9" t="s">
        <v>11</v>
      </c>
      <c r="B5" s="10" t="s">
        <v>6</v>
      </c>
      <c r="C5" s="11" t="s">
        <v>7</v>
      </c>
      <c r="D5" s="12" t="str" cm="1">
        <f t="array" ref="D5">ProcessFilename(A5, "", C5)</f>
        <v>IBM 1620 Front Panels -- February 2008.pdf</v>
      </c>
    </row>
    <row r="6" spans="1:4" ht="15">
      <c r="A6" s="22" t="s">
        <v>16</v>
      </c>
      <c r="B6" s="20" t="s">
        <v>15</v>
      </c>
      <c r="C6" s="21"/>
      <c r="D6" s="23" t="str" cm="1">
        <f t="array" ref="D6">ProcessFilename(A6, "", C6)</f>
        <v>IBM 1620 Indirect Addressing.pdf</v>
      </c>
    </row>
    <row r="7" spans="1:4" ht="15">
      <c r="A7" s="9" t="s">
        <v>10</v>
      </c>
      <c r="B7" s="10" t="s">
        <v>6</v>
      </c>
      <c r="C7" s="11" t="s">
        <v>7</v>
      </c>
      <c r="D7" s="12" t="str" cm="1">
        <f t="array" ref="D7">ProcessFilename(A7, "", C7)</f>
        <v>IBM 1620 Instructions -- February 2008.pdf</v>
      </c>
    </row>
    <row r="8" spans="1:4" ht="15">
      <c r="A8" s="18" t="s">
        <v>14</v>
      </c>
      <c r="B8" s="10" t="s">
        <v>6</v>
      </c>
      <c r="C8" s="11" t="s">
        <v>7</v>
      </c>
      <c r="D8" s="17" t="str" cm="1">
        <f t="array" ref="D8">ProcessFilename(A8, C8, "")</f>
        <v>IBM 1620 I-O Characters &amp; Codes -- February 2008.pdf</v>
      </c>
    </row>
    <row r="9" spans="1:4" ht="15">
      <c r="A9" s="9" t="s">
        <v>5</v>
      </c>
      <c r="B9" s="10" t="s">
        <v>6</v>
      </c>
      <c r="C9" s="11" t="s">
        <v>7</v>
      </c>
      <c r="D9" s="12" t="str" cm="1">
        <f t="array" ref="D9">ProcessFilename(A9, "", C9)</f>
        <v>IBM 1620 Models -- February 2008.pdf</v>
      </c>
    </row>
    <row r="10" spans="1:4" ht="15.75" thickBot="1">
      <c r="A10" s="13" t="s">
        <v>3</v>
      </c>
      <c r="B10" s="14" t="s">
        <v>4</v>
      </c>
      <c r="C10" s="15" t="s">
        <v>12</v>
      </c>
      <c r="D10" s="16" t="str" cm="1">
        <f t="array" ref="D10">ProcessFilename(A10, "", C10)</f>
        <v>Preliminary Functional Specifications CADET Computer -- July 31, 1959.pdf</v>
      </c>
    </row>
  </sheetData>
  <sortState xmlns:xlrd2="http://schemas.microsoft.com/office/spreadsheetml/2017/richdata2" ref="A4:C10">
    <sortCondition ref="A4:A10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2026-08-18T20:23:22Z</dcterms:modified>
</cp:coreProperties>
</file>