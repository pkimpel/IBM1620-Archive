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e\Desktop\IBM 1620\Documents\Ads\"/>
    </mc:Choice>
  </mc:AlternateContent>
  <xr:revisionPtr revIDLastSave="0" documentId="13_ncr:1_{581FEFA9-8C47-46BA-B1B4-A6EBFFC66DF0}" xr6:coauthVersionLast="47" xr6:coauthVersionMax="47" xr10:uidLastSave="{00000000-0000-0000-0000-000000000000}"/>
  <bookViews>
    <workbookView xWindow="28680" yWindow="-120" windowWidth="29040" windowHeight="18240" xr2:uid="{3530BFFD-81A8-4E37-A939-14B4AF3C4CAC}"/>
  </bookViews>
  <sheets>
    <sheet name="Ads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1" i="1" l="1" a="1"/>
  <c r="E13" i="1" a="1"/>
  <c r="E6" i="1" a="1"/>
  <c r="E8" i="1" a="1"/>
  <c r="E7" i="1" a="1"/>
  <c r="E25" i="1" a="1"/>
  <c r="E17" i="1" a="1"/>
  <c r="E9" i="1" a="1"/>
  <c r="E10" i="1" a="1"/>
  <c r="E11" i="1" a="1"/>
  <c r="E22" i="1" a="1"/>
  <c r="E27" i="1" a="1"/>
  <c r="E20" i="1" a="1"/>
  <c r="E18" i="1" a="1"/>
  <c r="E24" i="1" a="1"/>
  <c r="E12" i="1" a="1"/>
  <c r="E23" i="1" a="1"/>
  <c r="E28" i="1" a="1"/>
  <c r="E4" i="1" a="1"/>
  <c r="E16" i="1" a="1"/>
  <c r="E15" i="1" a="1"/>
  <c r="E14" i="1" a="1"/>
  <c r="E32" i="1" a="1"/>
  <c r="E5" i="1" a="1"/>
  <c r="E30" i="1" a="1"/>
  <c r="E19" i="1" a="1"/>
  <c r="E26" i="1" a="1"/>
  <c r="E31" i="1" a="1"/>
  <c r="E29" i="1" a="1"/>
  <c r="E29" i="1" l="1"/>
  <c r="E31" i="1"/>
  <c r="E26" i="1"/>
  <c r="E19" i="1"/>
  <c r="E30" i="1"/>
  <c r="E5" i="1"/>
  <c r="E32" i="1"/>
  <c r="E14" i="1"/>
  <c r="E15" i="1"/>
  <c r="E16" i="1"/>
  <c r="E4" i="1"/>
  <c r="E28" i="1"/>
  <c r="E23" i="1"/>
  <c r="E12" i="1"/>
  <c r="E24" i="1"/>
  <c r="E18" i="1"/>
  <c r="E20" i="1"/>
  <c r="E27" i="1"/>
  <c r="E22" i="1"/>
  <c r="E11" i="1"/>
  <c r="E10" i="1"/>
  <c r="E9" i="1"/>
  <c r="E17" i="1"/>
  <c r="E25" i="1"/>
  <c r="E7" i="1"/>
  <c r="E8" i="1"/>
  <c r="E6" i="1"/>
  <c r="E13" i="1"/>
  <c r="E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<sst xmlns="http://schemas.openxmlformats.org/spreadsheetml/2006/main" count="89" uniqueCount="65">
  <si>
    <t>IBM</t>
  </si>
  <si>
    <t>Calcomp</t>
  </si>
  <si>
    <t>IBM 1620 Being Modified</t>
  </si>
  <si>
    <t>Byte</t>
  </si>
  <si>
    <t>Seven Reasons Why the S-C 3070 is the Best Output Printer for Small and Medium Sized Computers</t>
  </si>
  <si>
    <t>Too Bad About Your IBM 1620</t>
  </si>
  <si>
    <t>Computers and Automation</t>
  </si>
  <si>
    <t>September 1977</t>
  </si>
  <si>
    <t>May 1976</t>
  </si>
  <si>
    <t>May 1978</t>
  </si>
  <si>
    <t>March 1965</t>
  </si>
  <si>
    <t>Title</t>
  </si>
  <si>
    <t>Company</t>
  </si>
  <si>
    <t>Publication</t>
  </si>
  <si>
    <t>Date</t>
  </si>
  <si>
    <t>Datamation</t>
  </si>
  <si>
    <t>April 1964</t>
  </si>
  <si>
    <t>1959</t>
  </si>
  <si>
    <t>January 1964</t>
  </si>
  <si>
    <t>Delta Electronics Co.</t>
  </si>
  <si>
    <t>Hayden Book Co.</t>
  </si>
  <si>
    <t>Mona Grove High School</t>
  </si>
  <si>
    <t>T.K. Maki</t>
  </si>
  <si>
    <t>Stromberg-Carlson</t>
  </si>
  <si>
    <t>September 1964</t>
  </si>
  <si>
    <t>IBM Australia</t>
  </si>
  <si>
    <t>Scientific Data Systems</t>
  </si>
  <si>
    <t>November 1963</t>
  </si>
  <si>
    <t>J. Wiley &amp; Sons, Inc.</t>
  </si>
  <si>
    <t>5 New Products</t>
  </si>
  <si>
    <t>The First Automated PSYCHOMETRIC Test Designed for the Non-Psychiatric Physician</t>
  </si>
  <si>
    <t>March 1964</t>
  </si>
  <si>
    <t>General Practice, The Family Physician's Magazine</t>
  </si>
  <si>
    <t>This Computer Processes Over 4000 Lines of Type an Hour</t>
  </si>
  <si>
    <t>1962</t>
  </si>
  <si>
    <t>Writing the Menu for Senor Rojo's Cows</t>
  </si>
  <si>
    <t>IBM 1620 Ads</t>
  </si>
  <si>
    <t>Introduction to Electronic Computers</t>
  </si>
  <si>
    <t>Filename</t>
  </si>
  <si>
    <t>Announcing the New IBM 1620</t>
  </si>
  <si>
    <t>1960</t>
  </si>
  <si>
    <t>Automatic Maps Help Find Oil</t>
  </si>
  <si>
    <t>Blueprint for Creative Engineering Progress - The Unique New IBM 1620</t>
  </si>
  <si>
    <t>Calcomp 563 Digital Plotter Teams With IBM 1620 Computer to Plot Automatic Contour Maps</t>
  </si>
  <si>
    <t>Computer Programs Speed Lens Design</t>
  </si>
  <si>
    <t>Digital Trouble Shooter for Titan</t>
  </si>
  <si>
    <t>How to Get the Most Out of the Most Modern of Computers</t>
  </si>
  <si>
    <t>IBM 1620 - Most Powerful General Purpose Computer in the Low-Price Field</t>
  </si>
  <si>
    <t>IBM 1620 - The Most Powerful Engineering Computer in It's Low Price Class</t>
  </si>
  <si>
    <t>IBM 1620 Computer for Sale</t>
  </si>
  <si>
    <t>Civil Engineering</t>
  </si>
  <si>
    <t>January 1960</t>
  </si>
  <si>
    <t>Editor &amp; Publisher</t>
  </si>
  <si>
    <t>November 30, 1963</t>
  </si>
  <si>
    <t>Want to Find Coefficients? It's Easy With the New Regression Analysis Program for the IBM 1620</t>
  </si>
  <si>
    <t>Free Engineers for Creative Assignments with the New Low-Cost IBM 1620</t>
  </si>
  <si>
    <t>General Electric</t>
  </si>
  <si>
    <t>Data Processing &amp; Computation</t>
  </si>
  <si>
    <t>A General Description of Capabilities</t>
  </si>
  <si>
    <t>IBM 1620 Data Processing System</t>
  </si>
  <si>
    <t>Recent Performances of the IBM 1620</t>
  </si>
  <si>
    <t>IBM 1620 Systems - New Power, New Features, Modular Design</t>
  </si>
  <si>
    <t>The IBM 1620 Data Processing System for Research and Engineering</t>
  </si>
  <si>
    <t>Program</t>
  </si>
  <si>
    <t>IBM 1620 Electronic Circuit Analysis Program - Short Cut to Superior Circuit Design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</si>
</sst>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4"/>
      <color theme="1"/>
      <name val="Aptos Narrow"/>
      <scheme val="minor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b/>
      <u/>
      <sz val="20"/>
      <color theme="1"/>
      <name val="Arial"/>
      <family val="2"/>
    </font>
    <font>
      <u/>
      <sz val="11"/>
      <color theme="10"/>
      <name val="Aptos Narrow"/>
      <family val="2"/>
      <scheme val="minor"/>
    </font>
    <font>
      <sz val="12"/>
      <name val="Arial"/>
      <family val="2"/>
    </font>
    <font>
      <b/>
      <sz val="14"/>
      <color theme="1"/>
      <name val="Aptos Narrow"/>
      <scheme val="minor"/>
    </font>
    <font>
      <sz val="12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4" fillId="0" borderId="0" applyNumberFormat="0" applyFill="0" applyBorder="0" applyAlignment="0" applyProtection="0"/>
  </cellStyleXfs>
  <cellXfs count="39">
    <xf numFmtId="0" fontId="0" fillId="0" borderId="0" xfId="0"/>
    <xf numFmtId="0" fontId="19" fillId="0" borderId="0" xfId="0" applyFont="1"/>
    <xf numFmtId="0" fontId="18" fillId="0" borderId="0" xfId="0" applyFont="1" applyAlignment="1">
      <alignment vertical="top"/>
    </xf>
    <xf numFmtId="0" fontId="20" fillId="0" borderId="0" xfId="0" applyFont="1"/>
    <xf numFmtId="0" fontId="21" fillId="0" borderId="10" xfId="0" applyFont="1" applyBorder="1"/>
    <xf numFmtId="0" fontId="22" fillId="0" borderId="15" xfId="0" applyFont="1" applyBorder="1" applyAlignment="1">
      <alignment vertical="top"/>
    </xf>
    <xf numFmtId="0" fontId="25" fillId="0" borderId="11" xfId="0" applyFont="1" applyBorder="1" applyAlignment="1">
      <alignment vertical="top"/>
    </xf>
    <xf numFmtId="0" fontId="22" fillId="0" borderId="12" xfId="0" applyFont="1" applyBorder="1" applyAlignment="1">
      <alignment vertical="top"/>
    </xf>
    <xf numFmtId="0" fontId="22" fillId="0" borderId="21" xfId="0" applyFont="1" applyBorder="1" applyAlignment="1">
      <alignment vertical="top"/>
    </xf>
    <xf numFmtId="0" fontId="25" fillId="0" borderId="14" xfId="42" applyFont="1" applyBorder="1" applyAlignment="1">
      <alignment vertical="top"/>
    </xf>
    <xf numFmtId="0" fontId="25" fillId="0" borderId="22" xfId="42" applyFont="1" applyBorder="1" applyAlignment="1">
      <alignment vertical="top"/>
    </xf>
    <xf numFmtId="0" fontId="22" fillId="0" borderId="23" xfId="0" applyFont="1" applyBorder="1" applyAlignment="1">
      <alignment vertical="top"/>
    </xf>
    <xf numFmtId="0" fontId="22" fillId="0" borderId="23" xfId="0" applyFont="1" applyBorder="1" applyAlignment="1">
      <alignment vertical="top" wrapText="1"/>
    </xf>
    <xf numFmtId="49" fontId="20" fillId="0" borderId="0" xfId="0" applyNumberFormat="1" applyFont="1" applyAlignment="1">
      <alignment horizontal="left"/>
    </xf>
    <xf numFmtId="49" fontId="21" fillId="0" borderId="10" xfId="0" applyNumberFormat="1" applyFont="1" applyBorder="1" applyAlignment="1">
      <alignment horizontal="left"/>
    </xf>
    <xf numFmtId="49" fontId="0" fillId="0" borderId="0" xfId="0" applyNumberFormat="1" applyAlignment="1">
      <alignment horizontal="left"/>
    </xf>
    <xf numFmtId="0" fontId="26" fillId="0" borderId="10" xfId="0" applyFont="1" applyBorder="1"/>
    <xf numFmtId="49" fontId="22" fillId="0" borderId="12" xfId="0" applyNumberFormat="1" applyFont="1" applyBorder="1" applyAlignment="1">
      <alignment horizontal="left" vertical="top"/>
    </xf>
    <xf numFmtId="49" fontId="20" fillId="0" borderId="21" xfId="0" applyNumberFormat="1" applyFont="1" applyBorder="1" applyAlignment="1">
      <alignment horizontal="left" vertical="top"/>
    </xf>
    <xf numFmtId="49" fontId="20" fillId="0" borderId="15" xfId="0" applyNumberFormat="1" applyFont="1" applyBorder="1" applyAlignment="1">
      <alignment horizontal="left" vertical="top"/>
    </xf>
    <xf numFmtId="49" fontId="22" fillId="0" borderId="15" xfId="0" applyNumberFormat="1" applyFont="1" applyBorder="1" applyAlignment="1">
      <alignment horizontal="left" vertical="top"/>
    </xf>
    <xf numFmtId="49" fontId="20" fillId="0" borderId="23" xfId="0" applyNumberFormat="1" applyFont="1" applyBorder="1" applyAlignment="1">
      <alignment horizontal="left" vertical="top"/>
    </xf>
    <xf numFmtId="0" fontId="22" fillId="0" borderId="16" xfId="0" applyFont="1" applyBorder="1" applyAlignment="1">
      <alignment vertical="top" wrapText="1"/>
    </xf>
    <xf numFmtId="0" fontId="22" fillId="0" borderId="13" xfId="0" applyFont="1" applyBorder="1" applyAlignment="1">
      <alignment vertical="top" wrapText="1"/>
    </xf>
    <xf numFmtId="0" fontId="22" fillId="0" borderId="19" xfId="0" applyFont="1" applyBorder="1" applyAlignment="1">
      <alignment vertical="top" wrapText="1"/>
    </xf>
    <xf numFmtId="0" fontId="25" fillId="0" borderId="20" xfId="42" applyFont="1" applyBorder="1" applyAlignment="1">
      <alignment vertical="top"/>
    </xf>
    <xf numFmtId="0" fontId="25" fillId="0" borderId="20" xfId="0" applyFont="1" applyBorder="1" applyAlignment="1">
      <alignment vertical="top"/>
    </xf>
    <xf numFmtId="49" fontId="22" fillId="0" borderId="21" xfId="0" applyNumberFormat="1" applyFont="1" applyBorder="1" applyAlignment="1">
      <alignment horizontal="left" vertical="top"/>
    </xf>
    <xf numFmtId="0" fontId="22" fillId="0" borderId="24" xfId="0" applyFont="1" applyBorder="1" applyAlignment="1">
      <alignment vertical="top" wrapText="1"/>
    </xf>
    <xf numFmtId="0" fontId="25" fillId="0" borderId="14" xfId="42" applyFont="1" applyBorder="1" applyAlignment="1">
      <alignment vertical="top" wrapText="1"/>
    </xf>
    <xf numFmtId="0" fontId="22" fillId="0" borderId="0" xfId="0" applyFont="1" applyAlignment="1">
      <alignment vertical="top"/>
    </xf>
    <xf numFmtId="0" fontId="22" fillId="0" borderId="0" xfId="0" applyFont="1"/>
    <xf numFmtId="0" fontId="27" fillId="0" borderId="17" xfId="0" applyFont="1" applyBorder="1"/>
    <xf numFmtId="0" fontId="18" fillId="0" borderId="18" xfId="0" applyFont="1" applyBorder="1"/>
    <xf numFmtId="49" fontId="18" fillId="0" borderId="18" xfId="0" applyNumberFormat="1" applyFont="1" applyBorder="1" applyAlignment="1">
      <alignment horizontal="left"/>
    </xf>
    <xf numFmtId="0" fontId="18" fillId="0" borderId="0" xfId="0" applyFont="1"/>
    <xf numFmtId="0" fontId="22" fillId="0" borderId="25" xfId="0" applyFont="1" applyBorder="1" applyAlignment="1">
      <alignment vertical="top" wrapText="1"/>
    </xf>
    <xf numFmtId="0" fontId="23" fillId="0" borderId="0" xfId="0" applyFont="1" applyAlignment="1">
      <alignment horizontal="center"/>
    </xf>
    <xf numFmtId="0" fontId="0" fillId="0" borderId="0" xfId="0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1390650</xdr:colOff>
      <xdr:row>0</xdr:row>
      <xdr:rowOff>47625</xdr:rowOff>
    </xdr:from>
    <xdr:to>
      <xdr:col>3</xdr:col>
      <xdr:colOff>190358</xdr:colOff>
      <xdr:row>0</xdr:row>
      <xdr:rowOff>295244</xdr:rowOff>
    </xdr:to>
    <xdr:pic macro="[0]!GenerateHTML">
      <xdr:nvPicPr>
        <xdr:cNvPr id="2" name="Picture 1">
          <a:extLst>
            <a:ext uri="{FF2B5EF4-FFF2-40B4-BE49-F238E27FC236}">
              <a16:creationId xmlns:a16="http://schemas.microsoft.com/office/drawing/2014/main" id="{92FEB24F-2172-E3ED-B9B1-C77A61539C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9450" y="47625"/>
          <a:ext cx="1133333" cy="2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69FD8-0309-47A8-B08D-D73F69C8F095}">
  <sheetPr codeName="Sheet1"/>
  <dimension ref="A1:F32"/>
  <sheetViews>
    <sheetView tabSelected="1" zoomScaleNormal="100" workbookViewId="0">
      <selection sqref="A1:E1"/>
    </sheetView>
  </sheetViews>
  <sheetFormatPr defaultRowHeight="14.25"/>
  <cols>
    <col min="1" max="1" width="90.625" customWidth="1"/>
    <col min="2" max="2" width="24.625" customWidth="1"/>
    <col min="3" max="3" width="30.625" customWidth="1"/>
    <col min="4" max="4" width="18.625" style="15" customWidth="1"/>
    <col min="5" max="5" width="70.625" customWidth="1"/>
    <col min="6" max="6" width="38.5" customWidth="1"/>
  </cols>
  <sheetData>
    <row r="1" spans="1:6" ht="26.25">
      <c r="A1" s="37" t="s">
        <v>36</v>
      </c>
      <c r="B1" s="38"/>
      <c r="C1" s="38"/>
      <c r="D1" s="38"/>
      <c r="E1" s="38"/>
    </row>
    <row r="2" spans="1:6" ht="15">
      <c r="A2" s="3"/>
      <c r="B2" s="3"/>
      <c r="C2" s="3"/>
      <c r="D2" s="13"/>
      <c r="F2" s="22"/>
    </row>
    <row r="3" spans="1:6" s="1" customFormat="1" ht="18.75" thickBot="1">
      <c r="A3" s="4" t="s">
        <v>11</v>
      </c>
      <c r="B3" s="4" t="s">
        <v>12</v>
      </c>
      <c r="C3" s="4" t="s">
        <v>13</v>
      </c>
      <c r="D3" s="14" t="s">
        <v>14</v>
      </c>
      <c r="E3" s="16" t="s">
        <v>38</v>
      </c>
    </row>
    <row r="4" spans="1:6" s="1" customFormat="1" ht="18">
      <c r="A4" s="6" t="s">
        <v>29</v>
      </c>
      <c r="B4" s="7" t="s">
        <v>0</v>
      </c>
      <c r="C4" s="7"/>
      <c r="D4" s="17" t="s">
        <v>17</v>
      </c>
      <c r="E4" s="23" t="str" cm="1">
        <f t="array" ref="E4">ProcessFilename(A4, C4, D4)</f>
        <v>5 New Products -- 1959.pdf</v>
      </c>
      <c r="F4" s="31"/>
    </row>
    <row r="5" spans="1:6" ht="15">
      <c r="A5" s="9" t="s">
        <v>58</v>
      </c>
      <c r="B5" s="5" t="s">
        <v>56</v>
      </c>
      <c r="C5" s="5" t="s">
        <v>57</v>
      </c>
      <c r="D5" s="19"/>
      <c r="E5" s="22" t="str" cm="1">
        <f t="array" ref="E5">ProcessFilename(A5, C5, D5)</f>
        <v>A General Description of Capabilities -- Data Processing &amp; Computation.pdf</v>
      </c>
      <c r="F5" s="31"/>
    </row>
    <row r="6" spans="1:6" s="1" customFormat="1" ht="18">
      <c r="A6" s="26" t="s">
        <v>39</v>
      </c>
      <c r="B6" s="8" t="s">
        <v>0</v>
      </c>
      <c r="C6" s="8"/>
      <c r="D6" s="27" t="s">
        <v>40</v>
      </c>
      <c r="E6" s="28" t="str" cm="1">
        <f t="array" ref="E6">ProcessFilename(A6, C6, D6)</f>
        <v>Announcing the New IBM 1620 -- 1960.pdf</v>
      </c>
      <c r="F6" s="31"/>
    </row>
    <row r="7" spans="1:6" s="1" customFormat="1" ht="18" customHeight="1">
      <c r="A7" s="26" t="s">
        <v>41</v>
      </c>
      <c r="B7" s="8" t="s">
        <v>0</v>
      </c>
      <c r="C7" s="8"/>
      <c r="D7" s="27"/>
      <c r="E7" s="22" t="str" cm="1">
        <f t="array" ref="E7">ProcessFilename(A7, C7, D7)</f>
        <v>Automatic Maps Help Find Oil.pdf</v>
      </c>
      <c r="F7" s="31"/>
    </row>
    <row r="8" spans="1:6" ht="30">
      <c r="A8" s="25" t="s">
        <v>42</v>
      </c>
      <c r="B8" s="8" t="s">
        <v>0</v>
      </c>
      <c r="C8" s="8"/>
      <c r="D8" s="18" t="s">
        <v>17</v>
      </c>
      <c r="E8" s="22" t="str" cm="1">
        <f t="array" ref="E8">ProcessFilename(A8, C8, D8)</f>
        <v>Blueprint for Creative Engineering Progress - The Unique New IBM 1620 -- 1959.pdf</v>
      </c>
      <c r="F8" s="31"/>
    </row>
    <row r="9" spans="1:6" ht="30">
      <c r="A9" s="9" t="s">
        <v>43</v>
      </c>
      <c r="B9" s="5" t="s">
        <v>1</v>
      </c>
      <c r="C9" s="5" t="s">
        <v>15</v>
      </c>
      <c r="D9" s="19" t="s">
        <v>16</v>
      </c>
      <c r="E9" s="22" t="str" cm="1">
        <f t="array" ref="E9">ProcessFilename(A9, C9, D9)</f>
        <v>Calcomp 563 Digital Plotter Teams With IBM 1620 Computer to Plot Automatic Co... -- Datamation April 1964.pdf</v>
      </c>
      <c r="F9" s="31"/>
    </row>
    <row r="10" spans="1:6" ht="15">
      <c r="A10" s="9" t="s">
        <v>44</v>
      </c>
      <c r="B10" s="5" t="s">
        <v>0</v>
      </c>
      <c r="C10" s="5"/>
      <c r="D10" s="19"/>
      <c r="E10" s="22" t="str" cm="1">
        <f t="array" ref="E10">ProcessFilename(A10, C10, D10)</f>
        <v>Computer Programs Speed Lens Design.pdf</v>
      </c>
      <c r="F10" s="31"/>
    </row>
    <row r="11" spans="1:6" ht="15">
      <c r="A11" s="9" t="s">
        <v>45</v>
      </c>
      <c r="B11" s="5" t="s">
        <v>0</v>
      </c>
      <c r="C11" s="5"/>
      <c r="D11" s="19"/>
      <c r="E11" s="22" t="str" cm="1">
        <f t="array" ref="E11">ProcessFilename(A11, C11, D11)</f>
        <v>Digital Trouble Shooter for Titan.pdf</v>
      </c>
      <c r="F11" s="31"/>
    </row>
    <row r="12" spans="1:6" ht="30">
      <c r="A12" s="9" t="s">
        <v>55</v>
      </c>
      <c r="B12" s="5" t="s">
        <v>0</v>
      </c>
      <c r="C12" s="5"/>
      <c r="D12" s="19"/>
      <c r="E12" s="22" t="str" cm="1">
        <f t="array" ref="E12">ProcessFilename(A12, C12, D12)</f>
        <v>Free Engineers for Creative Assignments with the New Low-Cost IBM 1620.pdf</v>
      </c>
      <c r="F12" s="31"/>
    </row>
    <row r="13" spans="1:6" ht="30">
      <c r="A13" s="9" t="s">
        <v>46</v>
      </c>
      <c r="B13" s="5" t="s">
        <v>20</v>
      </c>
      <c r="C13" s="5" t="s">
        <v>15</v>
      </c>
      <c r="D13" s="19" t="s">
        <v>18</v>
      </c>
      <c r="E13" s="22" t="str" cm="1">
        <f t="array" ref="E13">ProcessFilename(A13, C13, D13)</f>
        <v>How to Get the Most Out of the Most Modern of Computers -- Datamation January 1964.pdf</v>
      </c>
      <c r="F13" s="31"/>
    </row>
    <row r="14" spans="1:6" ht="30">
      <c r="A14" s="9" t="s">
        <v>47</v>
      </c>
      <c r="B14" s="5" t="s">
        <v>25</v>
      </c>
      <c r="C14" s="5"/>
      <c r="D14" s="19"/>
      <c r="E14" s="22" t="str" cm="1">
        <f t="array" ref="E14">ProcessFilename(A14, C14, D14)</f>
        <v>IBM 1620 - Most Powerful General Purpose Computer in the Low-Price Field.pdf</v>
      </c>
      <c r="F14" s="31"/>
    </row>
    <row r="15" spans="1:6" ht="30">
      <c r="A15" s="9" t="s">
        <v>48</v>
      </c>
      <c r="B15" s="5" t="s">
        <v>0</v>
      </c>
      <c r="C15" s="5"/>
      <c r="D15" s="19" t="s">
        <v>40</v>
      </c>
      <c r="E15" s="22" t="str" cm="1">
        <f t="array" ref="E15">ProcessFilename(A15, C15, D15)</f>
        <v>IBM 1620 - The Most Powerful Engineering Computer in It's Low Price Class -- 1960.pdf</v>
      </c>
      <c r="F15" s="31"/>
    </row>
    <row r="16" spans="1:6" ht="30">
      <c r="A16" s="9" t="s">
        <v>48</v>
      </c>
      <c r="B16" s="5" t="s">
        <v>0</v>
      </c>
      <c r="C16" s="5" t="s">
        <v>50</v>
      </c>
      <c r="D16" s="19" t="s">
        <v>51</v>
      </c>
      <c r="E16" s="22" t="str" cm="1">
        <f t="array" ref="E16">ProcessFilename(A16, C16, D16)</f>
        <v>IBM 1620 - The Most Powerful Engineering Computer in It's Low Price Class -- Civil Engineering January 1960.pdf</v>
      </c>
      <c r="F16" s="31"/>
    </row>
    <row r="17" spans="1:6" ht="15">
      <c r="A17" s="9" t="s">
        <v>2</v>
      </c>
      <c r="B17" s="5" t="s">
        <v>22</v>
      </c>
      <c r="C17" s="5" t="s">
        <v>3</v>
      </c>
      <c r="D17" s="19" t="s">
        <v>7</v>
      </c>
      <c r="E17" s="22" t="str" cm="1">
        <f t="array" ref="E17">ProcessFilename(A17, C17, D17)</f>
        <v>IBM 1620 Being Modified -- Byte September 1977.pdf</v>
      </c>
      <c r="F17" s="31"/>
    </row>
    <row r="18" spans="1:6" ht="15">
      <c r="A18" s="9" t="s">
        <v>49</v>
      </c>
      <c r="B18" s="5" t="s">
        <v>19</v>
      </c>
      <c r="C18" s="5" t="s">
        <v>3</v>
      </c>
      <c r="D18" s="19" t="s">
        <v>8</v>
      </c>
      <c r="E18" s="22" t="str" cm="1">
        <f t="array" ref="E18">ProcessFilename(A18, C18, D18)</f>
        <v>IBM 1620 Computer for Sale -- Byte May 1976.pdf</v>
      </c>
      <c r="F18" s="31"/>
    </row>
    <row r="19" spans="1:6" ht="15">
      <c r="A19" s="9" t="s">
        <v>49</v>
      </c>
      <c r="B19" s="5" t="s">
        <v>21</v>
      </c>
      <c r="C19" s="5" t="s">
        <v>3</v>
      </c>
      <c r="D19" s="19" t="s">
        <v>9</v>
      </c>
      <c r="E19" s="22" t="str" cm="1">
        <f t="array" ref="E19">ProcessFilename(A19, C19, D19)</f>
        <v>IBM 1620 Computer for Sale -- Byte May 1978.pdf</v>
      </c>
      <c r="F19" s="31"/>
    </row>
    <row r="20" spans="1:6" ht="15">
      <c r="A20" s="9" t="s">
        <v>59</v>
      </c>
      <c r="B20" s="5" t="s">
        <v>0</v>
      </c>
      <c r="C20" s="5"/>
      <c r="D20" s="19"/>
      <c r="E20" s="22" t="str" cm="1">
        <f t="array" ref="E20">ProcessFilename(A20, C20, D20)</f>
        <v>IBM 1620 Data Processing System.pdf</v>
      </c>
      <c r="F20" s="31"/>
    </row>
    <row r="21" spans="1:6" ht="30">
      <c r="A21" s="9" t="s">
        <v>64</v>
      </c>
      <c r="B21" s="5" t="s">
        <v>0</v>
      </c>
      <c r="C21" s="5"/>
      <c r="D21" s="19"/>
      <c r="E21" s="22" t="str" cm="1">
        <f t="array" ref="E21">ProcessFilename(A21, C21, D21)</f>
        <v>IBM 1620 Electronic Circuit Analysis Program - Short Cut to Superior Circuit ....pdf</v>
      </c>
      <c r="F21" s="22"/>
    </row>
    <row r="22" spans="1:6" ht="15">
      <c r="A22" s="9" t="s">
        <v>61</v>
      </c>
      <c r="B22" s="5" t="s">
        <v>0</v>
      </c>
      <c r="C22" s="5"/>
      <c r="D22" s="19"/>
      <c r="E22" s="22" t="str" cm="1">
        <f t="array" ref="E22">ProcessFilename(A22, C22, D22)</f>
        <v>IBM 1620 Systems - New Power, New Features, Modular Design.pdf</v>
      </c>
      <c r="F22" s="31"/>
    </row>
    <row r="23" spans="1:6" s="2" customFormat="1" ht="15">
      <c r="A23" s="29" t="s">
        <v>37</v>
      </c>
      <c r="B23" s="5" t="s">
        <v>28</v>
      </c>
      <c r="C23" s="5" t="s">
        <v>15</v>
      </c>
      <c r="D23" s="20" t="s">
        <v>27</v>
      </c>
      <c r="E23" s="22" t="str" cm="1">
        <f t="array" ref="E23">ProcessFilename(A23, C23, D23)</f>
        <v>Introduction to Electronic Computers -- Datamation November 1963.pdf</v>
      </c>
      <c r="F23" s="30"/>
    </row>
    <row r="24" spans="1:6" s="2" customFormat="1" ht="15">
      <c r="A24" s="29" t="s">
        <v>63</v>
      </c>
      <c r="B24" s="5" t="s">
        <v>0</v>
      </c>
      <c r="C24" s="5"/>
      <c r="D24" s="20"/>
      <c r="E24" s="22" t="str" cm="1">
        <f t="array" ref="E24">ProcessFilename(A24, C24, D24)</f>
        <v>Program.pdf</v>
      </c>
      <c r="F24" s="30"/>
    </row>
    <row r="25" spans="1:6" s="2" customFormat="1" ht="15">
      <c r="A25" s="29" t="s">
        <v>60</v>
      </c>
      <c r="B25" s="5" t="s">
        <v>0</v>
      </c>
      <c r="C25" s="5"/>
      <c r="D25" s="20"/>
      <c r="E25" s="22" t="str" cm="1">
        <f t="array" ref="E25">ProcessFilename(A25, C25, D25)</f>
        <v>Recent Performances of the IBM 1620.pdf</v>
      </c>
      <c r="F25" s="30"/>
    </row>
    <row r="26" spans="1:6" ht="30">
      <c r="A26" s="9" t="s">
        <v>4</v>
      </c>
      <c r="B26" s="5" t="s">
        <v>23</v>
      </c>
      <c r="C26" s="5" t="s">
        <v>15</v>
      </c>
      <c r="D26" s="19" t="s">
        <v>24</v>
      </c>
      <c r="E26" s="22" t="str" cm="1">
        <f t="array" ref="E26">ProcessFilename(A26, C26, D26)</f>
        <v>Seven Reasons Why the S-C 3070 is the Best Output Printer for Small and Mediu... -- Datamation September 1964.pdf</v>
      </c>
      <c r="F26" s="31"/>
    </row>
    <row r="27" spans="1:6" ht="45">
      <c r="A27" s="10" t="s">
        <v>30</v>
      </c>
      <c r="B27" s="11"/>
      <c r="C27" s="12" t="s">
        <v>32</v>
      </c>
      <c r="D27" s="21" t="s">
        <v>31</v>
      </c>
      <c r="E27" s="22" t="str" cm="1">
        <f t="array" ref="E27">ProcessFilename(A27, C27, D27)</f>
        <v>The First Automated PSYCHOMETRIC Test Designed for the Non-Psychiatric Physician -- General Practice, The Family Physician's Magazine March 1964.pdf</v>
      </c>
      <c r="F27" s="31"/>
    </row>
    <row r="28" spans="1:6" ht="15">
      <c r="A28" s="10" t="s">
        <v>62</v>
      </c>
      <c r="B28" s="11" t="s">
        <v>0</v>
      </c>
      <c r="C28" s="12"/>
      <c r="D28" s="21"/>
      <c r="E28" s="22" t="str" cm="1">
        <f t="array" ref="E28">ProcessFilename(A28, C28, D28)</f>
        <v>The IBM 1620 Data Processing System for Research and Engineering.pdf</v>
      </c>
      <c r="F28" s="31"/>
    </row>
    <row r="29" spans="1:6" ht="30">
      <c r="A29" s="10" t="s">
        <v>33</v>
      </c>
      <c r="B29" s="11" t="s">
        <v>0</v>
      </c>
      <c r="C29" s="12" t="s">
        <v>52</v>
      </c>
      <c r="D29" s="21" t="s">
        <v>53</v>
      </c>
      <c r="E29" s="22" t="str" cm="1">
        <f t="array" ref="E29">ProcessFilename(A29, C29, D29)</f>
        <v>This Computer Processes Over 4000 Lines of Type an Hour -- Editor &amp; Publisher November 30, 1963.pdf</v>
      </c>
      <c r="F29" s="36"/>
    </row>
    <row r="30" spans="1:6" ht="15">
      <c r="A30" s="10" t="s">
        <v>5</v>
      </c>
      <c r="B30" s="11" t="s">
        <v>26</v>
      </c>
      <c r="C30" s="11" t="s">
        <v>6</v>
      </c>
      <c r="D30" s="21" t="s">
        <v>10</v>
      </c>
      <c r="E30" s="22" t="str" cm="1">
        <f t="array" ref="E30">ProcessFilename(A30, C30, D30)</f>
        <v>Too Bad About Your IBM 1620 -- Computers and Automation March 1965.pdf</v>
      </c>
      <c r="F30" s="31"/>
    </row>
    <row r="31" spans="1:6" ht="30">
      <c r="A31" s="9" t="s">
        <v>54</v>
      </c>
      <c r="B31" s="5"/>
      <c r="C31" s="5"/>
      <c r="D31" s="19"/>
      <c r="E31" s="22" t="str" cm="1">
        <f t="array" ref="E31">ProcessFilename(A31, C31, D31)</f>
        <v>Want to Find Coefficients. It's Easy With the New Regression Analysis Program....pdf</v>
      </c>
      <c r="F31" s="31"/>
    </row>
    <row r="32" spans="1:6" s="35" customFormat="1" ht="15.75" thickBot="1">
      <c r="A32" s="32" t="s">
        <v>35</v>
      </c>
      <c r="B32" s="33"/>
      <c r="C32" s="33"/>
      <c r="D32" s="34" t="s">
        <v>34</v>
      </c>
      <c r="E32" s="24" t="str" cm="1">
        <f t="array" ref="E32">ProcessFilename(A32, C32, D32)</f>
        <v>Writing the Menu for Senor Rojo's Cows -- 1962.pdf</v>
      </c>
      <c r="F32" s="31"/>
    </row>
  </sheetData>
  <mergeCells count="1">
    <mergeCell ref="A1:E1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Babcock</dc:creator>
  <cp:lastModifiedBy>Dave Babcock</cp:lastModifiedBy>
  <dcterms:created xsi:type="dcterms:W3CDTF">2025-04-22T02:14:54Z</dcterms:created>
  <dcterms:modified xsi:type="dcterms:W3CDTF">2026-08-27T20:34:46Z</dcterms:modified>
</cp:coreProperties>
</file>