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Ads\"/>
    </mc:Choice>
  </mc:AlternateContent>
  <xr:revisionPtr revIDLastSave="0" documentId="13_ncr:1_{AD53FF98-D12D-4009-B9D8-44D0F76545ED}" xr6:coauthVersionLast="47" xr6:coauthVersionMax="47" xr10:uidLastSave="{00000000-0000-0000-0000-000000000000}"/>
  <bookViews>
    <workbookView xWindow="28680" yWindow="-120" windowWidth="29040" windowHeight="18240" xr2:uid="{3530BFFD-81A8-4E37-A939-14B4AF3C4CAC}"/>
  </bookViews>
  <sheets>
    <sheet name="Ad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" i="1" l="1" a="1"/>
  <c r="F14" i="1" a="1"/>
  <c r="F13" i="1" a="1"/>
  <c r="F5" i="1" a="1"/>
  <c r="F16" i="1" a="1"/>
  <c r="F20" i="1" a="1"/>
  <c r="F8" i="1" a="1"/>
  <c r="F18" i="1" a="1"/>
  <c r="F11" i="1" a="1"/>
  <c r="F10" i="1" a="1"/>
  <c r="F9" i="1" a="1"/>
  <c r="F19" i="1" a="1"/>
  <c r="F7" i="1" a="1"/>
  <c r="F12" i="1" a="1"/>
  <c r="F17" i="1" a="1"/>
  <c r="F4" i="1" a="1"/>
  <c r="F15" i="1" a="1"/>
  <c r="F6" i="1" a="1"/>
  <c r="F6" i="1" l="1"/>
  <c r="F15" i="1"/>
  <c r="F4" i="1"/>
  <c r="F17" i="1"/>
  <c r="F12" i="1"/>
  <c r="F7" i="1"/>
  <c r="F19" i="1"/>
  <c r="F9" i="1"/>
  <c r="F10" i="1"/>
  <c r="F11" i="1"/>
  <c r="F18" i="1"/>
  <c r="F8" i="1"/>
  <c r="F20" i="1"/>
  <c r="F16" i="1"/>
  <c r="F5" i="1"/>
  <c r="F13" i="1"/>
  <c r="F14" i="1"/>
  <c r="F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<sst xmlns="http://schemas.openxmlformats.org/spreadsheetml/2006/main" count="62" uniqueCount="50">
  <si>
    <t>Blueprint for Creative Engineering Progress - The Unique New IBM 1620</t>
  </si>
  <si>
    <t>IBM</t>
  </si>
  <si>
    <t>Calcomp 563 Digital Plotter Teams With IBM 1620 Computer to Plot Automatic Contour Maps</t>
  </si>
  <si>
    <t>Calcomp</t>
  </si>
  <si>
    <t>How to Get the Most Out of the Most Modern of Computers</t>
  </si>
  <si>
    <t>IBM 1620 - Most Powerful General Purpose Computer in the Low-Price Field</t>
  </si>
  <si>
    <t>IBM 1620 Being Modified</t>
  </si>
  <si>
    <t>Byte</t>
  </si>
  <si>
    <t>IBM 1620 Computer For Sale</t>
  </si>
  <si>
    <t>Seven Reasons Why the S-C 3070 is the Best Output Printer for Small and Medium Sized Computers</t>
  </si>
  <si>
    <t>Too Bad About Your IBM 1620</t>
  </si>
  <si>
    <t>Computers and Automation</t>
  </si>
  <si>
    <t>September 1977</t>
  </si>
  <si>
    <t>May 1976</t>
  </si>
  <si>
    <t>May 1978</t>
  </si>
  <si>
    <t>March 1965</t>
  </si>
  <si>
    <t>Title</t>
  </si>
  <si>
    <t>Company</t>
  </si>
  <si>
    <t>Publication</t>
  </si>
  <si>
    <t>Date</t>
  </si>
  <si>
    <t>Datamation</t>
  </si>
  <si>
    <t>April 1964</t>
  </si>
  <si>
    <t>1959</t>
  </si>
  <si>
    <t>January 1964</t>
  </si>
  <si>
    <t>Delta Electronics Co.</t>
  </si>
  <si>
    <t>Hayden Book Co.</t>
  </si>
  <si>
    <t>Mona Grove High School</t>
  </si>
  <si>
    <t>T.K. Maki</t>
  </si>
  <si>
    <t>Stromberg-Carlson</t>
  </si>
  <si>
    <t>September 1964</t>
  </si>
  <si>
    <t>IBM Australia</t>
  </si>
  <si>
    <t>Scientific Data Systems</t>
  </si>
  <si>
    <t>November 1963</t>
  </si>
  <si>
    <t>J. Wiley &amp; Sons, Inc.</t>
  </si>
  <si>
    <t>5 New Products</t>
  </si>
  <si>
    <t>Free Engineers for Creative Assignments with the New Low-Cost IBM 1620</t>
  </si>
  <si>
    <t>The First Automated PSYCHOMETRIC Test Designed for the Non-Psychiatric Physician</t>
  </si>
  <si>
    <t>March 1964</t>
  </si>
  <si>
    <t>General Practice, The Family Physician's Magazine</t>
  </si>
  <si>
    <t>This Computer Processes Over 4000 Lines of Type an Hour</t>
  </si>
  <si>
    <t>Want to Find Coefficients?  It's Easy with the New Regression Analysis Program for the IBM 1620</t>
  </si>
  <si>
    <t>1962</t>
  </si>
  <si>
    <t>Writing the Menu for Senor Rojo's Cows</t>
  </si>
  <si>
    <t>IBM 1620 Ads</t>
  </si>
  <si>
    <t>Introduction to Electronic Computers</t>
  </si>
  <si>
    <t>Type</t>
  </si>
  <si>
    <t>Filename</t>
  </si>
  <si>
    <t>Where are the atoms in a crystal?</t>
  </si>
  <si>
    <t>STUFF for regression analysis</t>
  </si>
  <si>
    <t>1963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</si>
</sst>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u/>
      <sz val="20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color theme="10"/>
      <name val="Arial"/>
      <family val="2"/>
    </font>
    <font>
      <sz val="12"/>
      <name val="Arial"/>
      <family val="2"/>
    </font>
    <font>
      <b/>
      <sz val="14"/>
      <color theme="1"/>
      <name val="Aptos Narrow"/>
      <scheme val="minor"/>
    </font>
    <font>
      <sz val="1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44">
    <xf numFmtId="0" fontId="0" fillId="0" borderId="0" xfId="0"/>
    <xf numFmtId="0" fontId="19" fillId="0" borderId="0" xfId="0" applyFont="1"/>
    <xf numFmtId="0" fontId="18" fillId="0" borderId="0" xfId="0" applyFont="1" applyAlignment="1">
      <alignment vertical="top"/>
    </xf>
    <xf numFmtId="0" fontId="20" fillId="0" borderId="0" xfId="0" applyFont="1"/>
    <xf numFmtId="0" fontId="21" fillId="0" borderId="10" xfId="0" applyFont="1" applyBorder="1"/>
    <xf numFmtId="0" fontId="22" fillId="0" borderId="15" xfId="0" applyFont="1" applyBorder="1" applyAlignment="1">
      <alignment vertical="top"/>
    </xf>
    <xf numFmtId="0" fontId="26" fillId="0" borderId="11" xfId="0" applyFont="1" applyBorder="1" applyAlignment="1">
      <alignment vertical="top"/>
    </xf>
    <xf numFmtId="0" fontId="22" fillId="0" borderId="12" xfId="0" applyFont="1" applyBorder="1" applyAlignment="1">
      <alignment vertical="top"/>
    </xf>
    <xf numFmtId="0" fontId="22" fillId="0" borderId="21" xfId="0" applyFont="1" applyBorder="1" applyAlignment="1">
      <alignment vertical="top"/>
    </xf>
    <xf numFmtId="0" fontId="26" fillId="0" borderId="14" xfId="42" applyFont="1" applyBorder="1" applyAlignment="1">
      <alignment vertical="top"/>
    </xf>
    <xf numFmtId="0" fontId="26" fillId="0" borderId="22" xfId="42" applyFont="1" applyBorder="1" applyAlignment="1">
      <alignment vertical="top"/>
    </xf>
    <xf numFmtId="0" fontId="22" fillId="0" borderId="23" xfId="0" applyFont="1" applyBorder="1" applyAlignment="1">
      <alignment vertical="top"/>
    </xf>
    <xf numFmtId="0" fontId="22" fillId="0" borderId="23" xfId="0" applyFont="1" applyBorder="1" applyAlignment="1">
      <alignment vertical="top" wrapText="1"/>
    </xf>
    <xf numFmtId="0" fontId="0" fillId="0" borderId="18" xfId="0" applyBorder="1"/>
    <xf numFmtId="49" fontId="20" fillId="0" borderId="0" xfId="0" applyNumberFormat="1" applyFont="1" applyAlignment="1">
      <alignment horizontal="left"/>
    </xf>
    <xf numFmtId="49" fontId="21" fillId="0" borderId="10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0" fontId="20" fillId="0" borderId="0" xfId="0" applyFont="1" applyAlignment="1">
      <alignment horizontal="center"/>
    </xf>
    <xf numFmtId="0" fontId="21" fillId="0" borderId="10" xfId="0" applyFont="1" applyBorder="1" applyAlignment="1">
      <alignment horizontal="center"/>
    </xf>
    <xf numFmtId="0" fontId="26" fillId="0" borderId="12" xfId="0" applyFont="1" applyBorder="1" applyAlignment="1">
      <alignment horizontal="center" vertical="top"/>
    </xf>
    <xf numFmtId="0" fontId="25" fillId="0" borderId="21" xfId="42" applyFont="1" applyBorder="1" applyAlignment="1">
      <alignment horizontal="center" vertical="top"/>
    </xf>
    <xf numFmtId="0" fontId="25" fillId="0" borderId="15" xfId="42" applyFont="1" applyBorder="1" applyAlignment="1">
      <alignment horizontal="center" vertical="top"/>
    </xf>
    <xf numFmtId="0" fontId="26" fillId="0" borderId="15" xfId="42" applyFont="1" applyBorder="1" applyAlignment="1">
      <alignment horizontal="center" vertical="top"/>
    </xf>
    <xf numFmtId="0" fontId="24" fillId="0" borderId="15" xfId="42" applyBorder="1" applyAlignment="1">
      <alignment horizontal="center" vertical="top" wrapText="1"/>
    </xf>
    <xf numFmtId="0" fontId="26" fillId="0" borderId="23" xfId="42" applyFont="1" applyBorder="1" applyAlignment="1">
      <alignment horizontal="center" vertical="top"/>
    </xf>
    <xf numFmtId="0" fontId="25" fillId="0" borderId="23" xfId="42" applyFont="1" applyBorder="1" applyAlignment="1">
      <alignment horizontal="center" vertical="top"/>
    </xf>
    <xf numFmtId="0" fontId="0" fillId="0" borderId="18" xfId="0" applyBorder="1" applyAlignment="1">
      <alignment horizontal="center"/>
    </xf>
    <xf numFmtId="0" fontId="0" fillId="0" borderId="0" xfId="0" applyAlignment="1">
      <alignment horizontal="center"/>
    </xf>
    <xf numFmtId="0" fontId="27" fillId="0" borderId="10" xfId="0" applyFont="1" applyBorder="1"/>
    <xf numFmtId="49" fontId="22" fillId="0" borderId="12" xfId="0" applyNumberFormat="1" applyFont="1" applyBorder="1" applyAlignment="1">
      <alignment horizontal="left" vertical="top"/>
    </xf>
    <xf numFmtId="49" fontId="20" fillId="0" borderId="21" xfId="0" applyNumberFormat="1" applyFont="1" applyBorder="1" applyAlignment="1">
      <alignment horizontal="left" vertical="top"/>
    </xf>
    <xf numFmtId="49" fontId="20" fillId="0" borderId="15" xfId="0" applyNumberFormat="1" applyFont="1" applyBorder="1" applyAlignment="1">
      <alignment horizontal="left" vertical="top"/>
    </xf>
    <xf numFmtId="49" fontId="22" fillId="0" borderId="15" xfId="0" applyNumberFormat="1" applyFont="1" applyBorder="1" applyAlignment="1">
      <alignment horizontal="left" vertical="top"/>
    </xf>
    <xf numFmtId="49" fontId="20" fillId="0" borderId="23" xfId="0" applyNumberFormat="1" applyFont="1" applyBorder="1" applyAlignment="1">
      <alignment horizontal="left" vertical="top"/>
    </xf>
    <xf numFmtId="49" fontId="0" fillId="0" borderId="18" xfId="0" applyNumberFormat="1" applyBorder="1" applyAlignment="1">
      <alignment horizontal="left"/>
    </xf>
    <xf numFmtId="0" fontId="22" fillId="0" borderId="16" xfId="0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6" fillId="0" borderId="20" xfId="42" applyFont="1" applyBorder="1" applyAlignment="1">
      <alignment vertical="top"/>
    </xf>
    <xf numFmtId="0" fontId="28" fillId="0" borderId="17" xfId="0" applyFont="1" applyBorder="1"/>
    <xf numFmtId="0" fontId="22" fillId="0" borderId="24" xfId="0" applyFont="1" applyBorder="1" applyAlignment="1">
      <alignment vertical="top" wrapText="1"/>
    </xf>
    <xf numFmtId="0" fontId="23" fillId="0" borderId="0" xfId="0" applyFont="1" applyAlignment="1">
      <alignment horizontal="center"/>
    </xf>
    <xf numFmtId="0" fontId="0" fillId="0" borderId="0" xfId="0"/>
    <xf numFmtId="0" fontId="28" fillId="0" borderId="14" xfId="42" applyFont="1" applyBorder="1" applyAlignment="1">
      <alignment vertical="top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1390650</xdr:colOff>
      <xdr:row>0</xdr:row>
      <xdr:rowOff>47625</xdr:rowOff>
    </xdr:from>
    <xdr:to>
      <xdr:col>4</xdr:col>
      <xdr:colOff>466583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92FEB24F-2172-E3ED-B9B1-C77A61539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945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69FD8-0309-47A8-B08D-D73F69C8F095}">
  <sheetPr codeName="Sheet1"/>
  <dimension ref="A1:F21"/>
  <sheetViews>
    <sheetView tabSelected="1" workbookViewId="0">
      <selection sqref="A1:F1"/>
    </sheetView>
  </sheetViews>
  <sheetFormatPr defaultRowHeight="14.25"/>
  <cols>
    <col min="1" max="1" width="90.625" customWidth="1"/>
    <col min="2" max="2" width="8.75" style="27" customWidth="1"/>
    <col min="3" max="3" width="24.625" customWidth="1"/>
    <col min="4" max="4" width="27" customWidth="1"/>
    <col min="5" max="5" width="17.375" style="16" customWidth="1"/>
    <col min="6" max="6" width="70.625" customWidth="1"/>
  </cols>
  <sheetData>
    <row r="1" spans="1:6" ht="26.25">
      <c r="A1" s="41" t="s">
        <v>43</v>
      </c>
      <c r="B1" s="42"/>
      <c r="C1" s="42"/>
      <c r="D1" s="42"/>
      <c r="E1" s="42"/>
      <c r="F1" s="42"/>
    </row>
    <row r="2" spans="1:6">
      <c r="A2" s="3"/>
      <c r="B2" s="17"/>
      <c r="C2" s="3"/>
      <c r="D2" s="3"/>
      <c r="E2" s="14"/>
    </row>
    <row r="3" spans="1:6" s="1" customFormat="1" ht="18.75" thickBot="1">
      <c r="A3" s="4" t="s">
        <v>16</v>
      </c>
      <c r="B3" s="18" t="s">
        <v>45</v>
      </c>
      <c r="C3" s="4" t="s">
        <v>17</v>
      </c>
      <c r="D3" s="4" t="s">
        <v>18</v>
      </c>
      <c r="E3" s="15" t="s">
        <v>19</v>
      </c>
      <c r="F3" s="28" t="s">
        <v>46</v>
      </c>
    </row>
    <row r="4" spans="1:6" s="1" customFormat="1" ht="18">
      <c r="A4" s="6" t="s">
        <v>34</v>
      </c>
      <c r="B4" s="19">
        <v>1</v>
      </c>
      <c r="C4" s="7" t="s">
        <v>1</v>
      </c>
      <c r="D4" s="7"/>
      <c r="E4" s="29" t="s">
        <v>22</v>
      </c>
      <c r="F4" s="36" t="str" cm="1">
        <f t="array" ref="F4">ProcessFilename(A4, D4, E4)</f>
        <v>5 New Products -- 1959.pdf</v>
      </c>
    </row>
    <row r="5" spans="1:6" ht="30">
      <c r="A5" s="38" t="s">
        <v>0</v>
      </c>
      <c r="B5" s="20">
        <v>1</v>
      </c>
      <c r="C5" s="8" t="s">
        <v>1</v>
      </c>
      <c r="D5" s="8"/>
      <c r="E5" s="30" t="s">
        <v>22</v>
      </c>
      <c r="F5" s="35" t="str" cm="1">
        <f t="array" ref="F5">ProcessFilename(A5, D5, E5)</f>
        <v>Blueprint for Creative Engineering Progress - The Unique New IBM 1620 -- 1959.pdf</v>
      </c>
    </row>
    <row r="6" spans="1:6" ht="30">
      <c r="A6" s="9" t="s">
        <v>2</v>
      </c>
      <c r="B6" s="21">
        <v>3</v>
      </c>
      <c r="C6" s="5" t="s">
        <v>3</v>
      </c>
      <c r="D6" s="5" t="s">
        <v>20</v>
      </c>
      <c r="E6" s="31" t="s">
        <v>21</v>
      </c>
      <c r="F6" s="35" t="str" cm="1">
        <f t="array" ref="F6">ProcessFilename(A6, D6, E6)</f>
        <v>Calcomp 563 Digital Plotter Teams With IBM 1620 Computer to Plot Automatic Co... -- Datamation April 1964.pdf</v>
      </c>
    </row>
    <row r="7" spans="1:6" ht="30">
      <c r="A7" s="9" t="s">
        <v>35</v>
      </c>
      <c r="B7" s="22">
        <v>1</v>
      </c>
      <c r="C7" s="5" t="s">
        <v>1</v>
      </c>
      <c r="D7" s="5"/>
      <c r="E7" s="31"/>
      <c r="F7" s="35" t="str" cm="1">
        <f t="array" ref="F7">ProcessFilename(A7, D7, E7)</f>
        <v>Free Engineers for Creative Assignments with the New Low-Cost IBM 1620.pdf</v>
      </c>
    </row>
    <row r="8" spans="1:6" ht="30">
      <c r="A8" s="9" t="s">
        <v>4</v>
      </c>
      <c r="B8" s="21">
        <v>5</v>
      </c>
      <c r="C8" s="5" t="s">
        <v>25</v>
      </c>
      <c r="D8" s="5" t="s">
        <v>20</v>
      </c>
      <c r="E8" s="31" t="s">
        <v>23</v>
      </c>
      <c r="F8" s="35" t="str" cm="1">
        <f t="array" ref="F8">ProcessFilename(A8, D8, E8)</f>
        <v>How to Get the Most Out of the Most Modern of Computers -- Datamation January 1964.pdf</v>
      </c>
    </row>
    <row r="9" spans="1:6" ht="30">
      <c r="A9" s="9" t="s">
        <v>5</v>
      </c>
      <c r="B9" s="21">
        <v>1</v>
      </c>
      <c r="C9" s="5" t="s">
        <v>30</v>
      </c>
      <c r="D9" s="5"/>
      <c r="E9" s="31"/>
      <c r="F9" s="35" t="str" cm="1">
        <f t="array" ref="F9">ProcessFilename(A9, D9, E9)</f>
        <v>IBM 1620 - Most Powerful General Purpose Computer in the Low-Price Field.pdf</v>
      </c>
    </row>
    <row r="10" spans="1:6" ht="15">
      <c r="A10" s="9" t="s">
        <v>6</v>
      </c>
      <c r="B10" s="21">
        <v>7</v>
      </c>
      <c r="C10" s="5" t="s">
        <v>27</v>
      </c>
      <c r="D10" s="5" t="s">
        <v>7</v>
      </c>
      <c r="E10" s="31" t="s">
        <v>12</v>
      </c>
      <c r="F10" s="35" t="str" cm="1">
        <f t="array" ref="F10">ProcessFilename(A10, D10, E10)</f>
        <v>IBM 1620 Being Modified -- Byte September 1977.pdf</v>
      </c>
    </row>
    <row r="11" spans="1:6" ht="15">
      <c r="A11" s="9" t="s">
        <v>8</v>
      </c>
      <c r="B11" s="21">
        <v>6</v>
      </c>
      <c r="C11" s="5" t="s">
        <v>24</v>
      </c>
      <c r="D11" s="5" t="s">
        <v>7</v>
      </c>
      <c r="E11" s="31" t="s">
        <v>13</v>
      </c>
      <c r="F11" s="35" t="str" cm="1">
        <f t="array" ref="F11">ProcessFilename(A11, D11, E11)</f>
        <v>IBM 1620 Computer For Sale -- Byte May 1976.pdf</v>
      </c>
    </row>
    <row r="12" spans="1:6" ht="15">
      <c r="A12" s="9" t="s">
        <v>8</v>
      </c>
      <c r="B12" s="21">
        <v>6</v>
      </c>
      <c r="C12" s="5" t="s">
        <v>26</v>
      </c>
      <c r="D12" s="5" t="s">
        <v>7</v>
      </c>
      <c r="E12" s="31" t="s">
        <v>14</v>
      </c>
      <c r="F12" s="35" t="str" cm="1">
        <f t="array" ref="F12">ProcessFilename(A12, D12, E12)</f>
        <v>IBM 1620 Computer For Sale -- Byte May 1978.pdf</v>
      </c>
    </row>
    <row r="13" spans="1:6" s="2" customFormat="1" ht="15">
      <c r="A13" s="43" t="s">
        <v>44</v>
      </c>
      <c r="B13" s="23">
        <v>5</v>
      </c>
      <c r="C13" s="5" t="s">
        <v>33</v>
      </c>
      <c r="D13" s="5" t="s">
        <v>20</v>
      </c>
      <c r="E13" s="32" t="s">
        <v>32</v>
      </c>
      <c r="F13" s="35" t="str" cm="1">
        <f t="array" ref="F13">ProcessFilename(A13, D13, E13)</f>
        <v>Introduction to Electronic Computers -- Datamation November 1963.pdf</v>
      </c>
    </row>
    <row r="14" spans="1:6" ht="30">
      <c r="A14" s="9" t="s">
        <v>9</v>
      </c>
      <c r="B14" s="21">
        <v>3</v>
      </c>
      <c r="C14" s="5" t="s">
        <v>28</v>
      </c>
      <c r="D14" s="5" t="s">
        <v>20</v>
      </c>
      <c r="E14" s="31" t="s">
        <v>29</v>
      </c>
      <c r="F14" s="35" t="str" cm="1">
        <f t="array" ref="F14">ProcessFilename(A14, D14, E14)</f>
        <v>Seven Reasons Why the S-C 3070 is the Best Output Printer for Small and Mediu... -- Datamation September 1964.pdf</v>
      </c>
    </row>
    <row r="15" spans="1:6" ht="15">
      <c r="A15" s="10" t="s">
        <v>48</v>
      </c>
      <c r="B15" s="25">
        <v>2</v>
      </c>
      <c r="C15" s="11" t="s">
        <v>1</v>
      </c>
      <c r="D15" s="11"/>
      <c r="E15" s="33" t="s">
        <v>49</v>
      </c>
      <c r="F15" s="35" t="str" cm="1">
        <f t="array" ref="F15">ProcessFilename(A15, D15, E15)</f>
        <v>STUFF for regression analysis -- 1963.pdf</v>
      </c>
    </row>
    <row r="16" spans="1:6" ht="45">
      <c r="A16" s="10" t="s">
        <v>36</v>
      </c>
      <c r="B16" s="24">
        <v>2</v>
      </c>
      <c r="C16" s="11"/>
      <c r="D16" s="12" t="s">
        <v>38</v>
      </c>
      <c r="E16" s="33" t="s">
        <v>37</v>
      </c>
      <c r="F16" s="35" t="str" cm="1">
        <f t="array" ref="F16">ProcessFilename(A16, D16, E16)</f>
        <v>The First Automated PSYCHOMETRIC Test Designed for the Non-Psychiatric Physician -- General Practice, The Family Physician's Magazine March 1964.pdf</v>
      </c>
    </row>
    <row r="17" spans="1:6" ht="15">
      <c r="A17" s="10" t="s">
        <v>39</v>
      </c>
      <c r="B17" s="24">
        <v>1</v>
      </c>
      <c r="C17" s="11"/>
      <c r="D17" s="12"/>
      <c r="E17" s="33"/>
      <c r="F17" s="35" t="str" cm="1">
        <f t="array" ref="F17">ProcessFilename(A17, D17, E17)</f>
        <v>This Computer Processes Over 4000 Lines of Type an Hour.pdf</v>
      </c>
    </row>
    <row r="18" spans="1:6" ht="15">
      <c r="A18" s="10" t="s">
        <v>10</v>
      </c>
      <c r="B18" s="25">
        <v>3</v>
      </c>
      <c r="C18" s="11" t="s">
        <v>31</v>
      </c>
      <c r="D18" s="11" t="s">
        <v>11</v>
      </c>
      <c r="E18" s="33" t="s">
        <v>15</v>
      </c>
      <c r="F18" s="35" t="str" cm="1">
        <f t="array" ref="F18">ProcessFilename(A18, D18, E18)</f>
        <v>Too Bad About Your IBM 1620 -- Computers and Automation March 1965.pdf</v>
      </c>
    </row>
    <row r="19" spans="1:6" ht="30">
      <c r="A19" s="9" t="s">
        <v>40</v>
      </c>
      <c r="B19" s="21">
        <v>2</v>
      </c>
      <c r="C19" s="5"/>
      <c r="D19" s="5"/>
      <c r="E19" s="31"/>
      <c r="F19" s="35" t="str" cm="1">
        <f t="array" ref="F19">ProcessFilename(A19, D19, E19)</f>
        <v>Want to Find Coefficients.  It's Easy with the New Regression Analysis Progra....pdf</v>
      </c>
    </row>
    <row r="20" spans="1:6" ht="15">
      <c r="A20" s="10" t="s">
        <v>47</v>
      </c>
      <c r="B20" s="25">
        <v>3</v>
      </c>
      <c r="C20" s="11" t="s">
        <v>1</v>
      </c>
      <c r="D20" s="11"/>
      <c r="E20" s="33" t="s">
        <v>49</v>
      </c>
      <c r="F20" s="40" t="str" cm="1">
        <f t="array" ref="F20">ProcessFilename(A20, D20, E20)</f>
        <v>Where are the atoms in a crystal. -- 1963.pdf</v>
      </c>
    </row>
    <row r="21" spans="1:6" ht="15.75" thickBot="1">
      <c r="A21" s="39" t="s">
        <v>42</v>
      </c>
      <c r="B21" s="26">
        <v>1</v>
      </c>
      <c r="C21" s="13"/>
      <c r="D21" s="13"/>
      <c r="E21" s="34" t="s">
        <v>41</v>
      </c>
      <c r="F21" s="37" t="str" cm="1">
        <f t="array" ref="F21">ProcessFilename(A21, D21, E21)</f>
        <v>Writing the Menu for Senor Rojo's Cows -- 1962.pdf</v>
      </c>
    </row>
  </sheetData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2025-04-22T02:14:54Z</dcterms:created>
  <dcterms:modified xsi:type="dcterms:W3CDTF">2026-02-28T03:02:38Z</dcterms:modified>
</cp:coreProperties>
</file>