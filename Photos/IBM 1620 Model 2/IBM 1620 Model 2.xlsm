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0 Model 2\"/>
    </mc:Choice>
  </mc:AlternateContent>
  <xr:revisionPtr revIDLastSave="0" documentId="13_ncr:1_{A1EBC24A-3E4A-4CB4-8622-37A6C4A1CFB1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  <c r="G13" i="1"/>
  <c r="H12" i="1"/>
  <c r="G12" i="1"/>
  <c r="H20" i="1"/>
  <c r="H19" i="1"/>
  <c r="H18" i="1"/>
  <c r="H17" i="1"/>
  <c r="H16" i="1"/>
  <c r="H15" i="1"/>
  <c r="H14" i="1"/>
  <c r="H11" i="1"/>
  <c r="H10" i="1"/>
  <c r="H9" i="1"/>
  <c r="H8" i="1"/>
  <c r="H7" i="1"/>
  <c r="H6" i="1"/>
  <c r="H5" i="1"/>
  <c r="H4" i="1"/>
  <c r="G20" i="1"/>
  <c r="G19" i="1"/>
  <c r="G18" i="1"/>
  <c r="G17" i="1"/>
  <c r="G16" i="1"/>
  <c r="G15" i="1"/>
  <c r="G14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<sst xmlns="http://schemas.openxmlformats.org/spreadsheetml/2006/main" count="45" uniqueCount="25">
  <si>
    <t>University of Iceland</t>
  </si>
  <si>
    <t>IBM 1620 Model 2</t>
  </si>
  <si>
    <t>USC System Simulation Lab</t>
  </si>
  <si>
    <t>University of Saskatchewan</t>
  </si>
  <si>
    <t>Machine</t>
  </si>
  <si>
    <t>Location</t>
  </si>
  <si>
    <t>Date</t>
  </si>
  <si>
    <t>Simulation</t>
  </si>
  <si>
    <t>April 1965</t>
  </si>
  <si>
    <t>Source</t>
  </si>
  <si>
    <t>Signing purchase contract</t>
  </si>
  <si>
    <t>5</t>
  </si>
  <si>
    <t>Hordur S Arinbjarnar</t>
  </si>
  <si>
    <t>1967</t>
  </si>
  <si>
    <t>Porhallur M Einarsson, Ragnar Ingimarsson, Helgi Sigvaldason, Oddur Benediktsson, Magnus Magnusson</t>
  </si>
  <si>
    <t>University of St Andrews</t>
  </si>
  <si>
    <t>January 4, 1965</t>
  </si>
  <si>
    <t>1964</t>
  </si>
  <si>
    <t>Description</t>
  </si>
  <si>
    <t>Unique ID # for each Location</t>
  </si>
  <si>
    <t>Caption</t>
  </si>
  <si>
    <t>Filename</t>
  </si>
  <si>
    <t>IBM 1620 Model 2 Photos</t>
  </si>
  <si>
    <t>IBM Press Photo</t>
  </si>
  <si>
    <t>IBM 1620 Model 2 - 10.png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</si>
</sst>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/>
    </xf>
    <xf numFmtId="49" fontId="21" fillId="0" borderId="0" xfId="0" applyNumberFormat="1" applyFont="1"/>
    <xf numFmtId="49" fontId="0" fillId="0" borderId="0" xfId="0" applyNumberFormat="1" applyAlignment="1">
      <alignment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20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2" t="s">
        <v>22</v>
      </c>
      <c r="B1" s="13"/>
      <c r="C1" s="13"/>
      <c r="D1" s="13"/>
      <c r="E1" s="13"/>
      <c r="F1" s="13"/>
      <c r="G1" s="13"/>
    </row>
    <row r="3" spans="1:8" ht="72.75" thickBot="1">
      <c r="A3" s="1" t="s">
        <v>4</v>
      </c>
      <c r="B3" s="1" t="s">
        <v>5</v>
      </c>
      <c r="C3" s="1" t="s">
        <v>18</v>
      </c>
      <c r="D3" s="1" t="s">
        <v>9</v>
      </c>
      <c r="E3" s="1" t="s">
        <v>6</v>
      </c>
      <c r="F3" s="6" t="s">
        <v>19</v>
      </c>
      <c r="G3" s="1" t="s">
        <v>21</v>
      </c>
      <c r="H3" s="10" t="s">
        <v>20</v>
      </c>
    </row>
    <row r="4" spans="1:8" ht="15">
      <c r="A4" s="3" t="s">
        <v>1</v>
      </c>
      <c r="B4" s="3"/>
      <c r="C4" s="3"/>
      <c r="D4" s="3"/>
      <c r="E4" s="3"/>
      <c r="F4" s="5">
        <v>1</v>
      </c>
      <c r="G4" s="3" t="str">
        <f t="shared" ref="G4:G20" si="0">_xlfn.CONCAT(A4,IF(ISBLANK(B4),"",_xlfn.CONCAT(" - ",B4)),IF(ISBLANK(F4),"",_xlfn.CONCAT(" - ",F4)),".png")</f>
        <v>IBM 1620 Model 2 - 1.png</v>
      </c>
      <c r="H4" s="11" t="str">
        <f t="shared" ref="H4:H20" si="1">_xlfn.CONCAT(A4,IF(ISBLANK(B4),"",_xlfn.CONCAT("&lt;br&gt;",B4)),IF(ISBLANK(C4),"",_xlfn.CONCAT("&lt;br&gt;",C4)),IF(ISBLANK(D4),"",_xlfn.CONCAT("&lt;br&gt;",D4)),IF(ISBLANK(E4),"",_xlfn.CONCAT("&lt;br&gt;",E4)))</f>
        <v>IBM 1620 Model 2</v>
      </c>
    </row>
    <row r="5" spans="1:8" ht="15">
      <c r="A5" s="3" t="s">
        <v>1</v>
      </c>
      <c r="B5" s="3"/>
      <c r="C5" s="3"/>
      <c r="D5" s="3"/>
      <c r="E5" s="3"/>
      <c r="F5" s="5">
        <v>2</v>
      </c>
      <c r="G5" s="3" t="str">
        <f t="shared" si="0"/>
        <v>IBM 1620 Model 2 - 2.png</v>
      </c>
      <c r="H5" s="11" t="str">
        <f t="shared" si="1"/>
        <v>IBM 1620 Model 2</v>
      </c>
    </row>
    <row r="6" spans="1:8" ht="15">
      <c r="A6" s="3" t="s">
        <v>1</v>
      </c>
      <c r="B6" s="3"/>
      <c r="C6" s="3"/>
      <c r="D6" s="3"/>
      <c r="E6" s="3"/>
      <c r="F6" s="5">
        <v>3</v>
      </c>
      <c r="G6" s="3" t="str">
        <f t="shared" si="0"/>
        <v>IBM 1620 Model 2 - 3.png</v>
      </c>
      <c r="H6" s="11" t="str">
        <f t="shared" si="1"/>
        <v>IBM 1620 Model 2</v>
      </c>
    </row>
    <row r="7" spans="1:8" ht="15">
      <c r="A7" s="3" t="s">
        <v>1</v>
      </c>
      <c r="C7" s="3"/>
      <c r="D7" s="3" t="s">
        <v>24</v>
      </c>
      <c r="E7" s="3">
        <v>1966</v>
      </c>
      <c r="F7" s="5">
        <v>4</v>
      </c>
      <c r="G7" s="3" t="str">
        <f t="shared" si="0"/>
        <v>IBM 1620 Model 2 - 4.png</v>
      </c>
      <c r="H7" s="11" t="str">
        <f t="shared" si="1"/>
        <v>IBM 1620 Model 2&lt;br&gt;IBM 1620 Model 2 - 10.png&lt;br&gt;1966</v>
      </c>
    </row>
    <row r="8" spans="1:8" ht="15">
      <c r="A8" s="3" t="s">
        <v>1</v>
      </c>
      <c r="C8" s="3"/>
      <c r="D8" s="3"/>
      <c r="E8" s="3">
        <v>1966</v>
      </c>
      <c r="F8" s="7" t="s">
        <v>11</v>
      </c>
      <c r="G8" s="3" t="str">
        <f t="shared" si="0"/>
        <v>IBM 1620 Model 2 - 5.png</v>
      </c>
      <c r="H8" s="11" t="str">
        <f t="shared" si="1"/>
        <v>IBM 1620 Model 2&lt;br&gt;1966</v>
      </c>
    </row>
    <row r="9" spans="1:8" ht="15">
      <c r="A9" s="3" t="s">
        <v>1</v>
      </c>
      <c r="C9" s="3"/>
      <c r="D9" s="3"/>
      <c r="E9" s="3">
        <v>1966</v>
      </c>
      <c r="F9" s="5">
        <v>6</v>
      </c>
      <c r="G9" s="3" t="str">
        <f t="shared" si="0"/>
        <v>IBM 1620 Model 2 - 6.png</v>
      </c>
      <c r="H9" s="11" t="str">
        <f t="shared" si="1"/>
        <v>IBM 1620 Model 2&lt;br&gt;1966</v>
      </c>
    </row>
    <row r="10" spans="1:8" ht="15">
      <c r="A10" s="3" t="s">
        <v>1</v>
      </c>
      <c r="C10" s="3"/>
      <c r="D10" s="3"/>
      <c r="E10" s="3">
        <v>1966</v>
      </c>
      <c r="F10" s="5">
        <v>7</v>
      </c>
      <c r="G10" s="3" t="str">
        <f t="shared" si="0"/>
        <v>IBM 1620 Model 2 - 7.png</v>
      </c>
      <c r="H10" s="11" t="str">
        <f t="shared" si="1"/>
        <v>IBM 1620 Model 2&lt;br&gt;1966</v>
      </c>
    </row>
    <row r="11" spans="1:8" ht="15">
      <c r="A11" s="3" t="s">
        <v>1</v>
      </c>
      <c r="C11" s="3"/>
      <c r="D11" s="3"/>
      <c r="E11" s="3">
        <v>1966</v>
      </c>
      <c r="F11" s="5">
        <v>8</v>
      </c>
      <c r="G11" s="3" t="str">
        <f t="shared" si="0"/>
        <v>IBM 1620 Model 2 - 8.png</v>
      </c>
      <c r="H11" s="11" t="str">
        <f t="shared" si="1"/>
        <v>IBM 1620 Model 2&lt;br&gt;1966</v>
      </c>
    </row>
    <row r="12" spans="1:8" ht="15">
      <c r="A12" s="3" t="s">
        <v>1</v>
      </c>
      <c r="C12" s="3"/>
      <c r="D12" s="3" t="s">
        <v>23</v>
      </c>
      <c r="E12" s="3"/>
      <c r="F12" s="5">
        <v>9</v>
      </c>
      <c r="G12" s="3" t="str">
        <f t="shared" ref="G12" si="2">_xlfn.CONCAT(A12,IF(ISBLANK(B12),"",_xlfn.CONCAT(" - ",B12)),IF(ISBLANK(F12),"",_xlfn.CONCAT(" - ",F12)),".png")</f>
        <v>IBM 1620 Model 2 - 9.png</v>
      </c>
      <c r="H12" s="11" t="str">
        <f t="shared" ref="H12" si="3">_xlfn.CONCAT(A12,IF(ISBLANK(B12),"",_xlfn.CONCAT("&lt;br&gt;",B12)),IF(ISBLANK(C12),"",_xlfn.CONCAT("&lt;br&gt;",C12)),IF(ISBLANK(D12),"",_xlfn.CONCAT("&lt;br&gt;",D12)),IF(ISBLANK(E12),"",_xlfn.CONCAT("&lt;br&gt;",E12)))</f>
        <v>IBM 1620 Model 2&lt;br&gt;IBM Press Photo</v>
      </c>
    </row>
    <row r="13" spans="1:8" ht="15">
      <c r="A13" s="3" t="s">
        <v>1</v>
      </c>
      <c r="C13" s="3"/>
      <c r="D13" s="3" t="s">
        <v>23</v>
      </c>
      <c r="E13" s="3"/>
      <c r="F13" s="5">
        <v>10</v>
      </c>
      <c r="G13" s="3" t="str">
        <f t="shared" ref="G13" si="4">_xlfn.CONCAT(A13,IF(ISBLANK(B13),"",_xlfn.CONCAT(" - ",B13)),IF(ISBLANK(F13),"",_xlfn.CONCAT(" - ",F13)),".png")</f>
        <v>IBM 1620 Model 2 - 10.png</v>
      </c>
      <c r="H13" s="11" t="str">
        <f t="shared" ref="H13" si="5">_xlfn.CONCAT(A13,IF(ISBLANK(B13),"",_xlfn.CONCAT("&lt;br&gt;",B13)),IF(ISBLANK(C13),"",_xlfn.CONCAT("&lt;br&gt;",C13)),IF(ISBLANK(D13),"",_xlfn.CONCAT("&lt;br&gt;",D13)),IF(ISBLANK(E13),"",_xlfn.CONCAT("&lt;br&gt;",E13)))</f>
        <v>IBM 1620 Model 2&lt;br&gt;IBM Press Photo</v>
      </c>
    </row>
    <row r="14" spans="1:8" ht="28.5">
      <c r="A14" s="3" t="s">
        <v>1</v>
      </c>
      <c r="B14" s="8" t="s">
        <v>0</v>
      </c>
      <c r="C14" s="3" t="s">
        <v>12</v>
      </c>
      <c r="D14" s="3"/>
      <c r="E14" s="3" t="s">
        <v>13</v>
      </c>
      <c r="F14" s="5">
        <v>1</v>
      </c>
      <c r="G14" s="3" t="str">
        <f t="shared" si="0"/>
        <v>IBM 1620 Model 2 - University of Iceland - 1.png</v>
      </c>
      <c r="H14" s="11" t="str">
        <f t="shared" si="1"/>
        <v>IBM 1620 Model 2&lt;br&gt;University of Iceland&lt;br&gt;Hordur S Arinbjarnar&lt;br&gt;1967</v>
      </c>
    </row>
    <row r="15" spans="1:8" ht="57">
      <c r="A15" s="3" t="s">
        <v>1</v>
      </c>
      <c r="B15" s="3" t="s">
        <v>0</v>
      </c>
      <c r="C15" s="9" t="s">
        <v>14</v>
      </c>
      <c r="D15" s="3"/>
      <c r="E15" s="3" t="s">
        <v>17</v>
      </c>
      <c r="F15" s="5">
        <v>2</v>
      </c>
      <c r="G15" s="3" t="str">
        <f t="shared" si="0"/>
        <v>IBM 1620 Model 2 - University of Iceland - 2.png</v>
      </c>
      <c r="H15" s="11" t="str">
        <f t="shared" si="1"/>
        <v>IBM 1620 Model 2&lt;br&gt;University of Iceland&lt;br&gt;Porhallur M Einarsson, Ragnar Ingimarsson, Helgi Sigvaldason, Oddur Benediktsson, Magnus Magnusson&lt;br&gt;1964</v>
      </c>
    </row>
    <row r="16" spans="1:8" ht="28.5">
      <c r="A16" s="3" t="s">
        <v>1</v>
      </c>
      <c r="B16" s="3" t="s">
        <v>0</v>
      </c>
      <c r="C16" s="8" t="s">
        <v>10</v>
      </c>
      <c r="D16" s="3"/>
      <c r="E16" s="3">
        <v>1964</v>
      </c>
      <c r="F16" s="5">
        <v>3</v>
      </c>
      <c r="G16" s="3" t="str">
        <f t="shared" si="0"/>
        <v>IBM 1620 Model 2 - University of Iceland - 3.png</v>
      </c>
      <c r="H16" s="11" t="str">
        <f t="shared" si="1"/>
        <v>IBM 1620 Model 2&lt;br&gt;University of Iceland&lt;br&gt;Signing purchase contract&lt;br&gt;1964</v>
      </c>
    </row>
    <row r="17" spans="1:8" ht="15">
      <c r="A17" s="3" t="s">
        <v>1</v>
      </c>
      <c r="B17" s="3" t="s">
        <v>3</v>
      </c>
      <c r="D17" s="3"/>
      <c r="E17" s="3"/>
      <c r="F17" s="5">
        <v>1</v>
      </c>
      <c r="G17" s="3" t="str">
        <f t="shared" si="0"/>
        <v>IBM 1620 Model 2 - University of Saskatchewan - 1.png</v>
      </c>
      <c r="H17" s="11" t="str">
        <f t="shared" si="1"/>
        <v>IBM 1620 Model 2&lt;br&gt;University of Saskatchewan</v>
      </c>
    </row>
    <row r="18" spans="1:8" ht="15">
      <c r="A18" s="3" t="s">
        <v>1</v>
      </c>
      <c r="B18" s="3" t="s">
        <v>15</v>
      </c>
      <c r="D18" s="3"/>
      <c r="E18" s="3"/>
      <c r="F18" s="5">
        <v>1</v>
      </c>
      <c r="G18" s="3" t="str">
        <f t="shared" si="0"/>
        <v>IBM 1620 Model 2 - University of St Andrews - 1.png</v>
      </c>
      <c r="H18" s="11" t="str">
        <f t="shared" si="1"/>
        <v>IBM 1620 Model 2&lt;br&gt;University of St Andrews</v>
      </c>
    </row>
    <row r="19" spans="1:8" ht="15">
      <c r="A19" s="3" t="s">
        <v>1</v>
      </c>
      <c r="B19" s="3" t="s">
        <v>15</v>
      </c>
      <c r="D19" s="3"/>
      <c r="E19" s="3" t="s">
        <v>16</v>
      </c>
      <c r="F19" s="5">
        <v>2</v>
      </c>
      <c r="G19" s="3" t="str">
        <f t="shared" si="0"/>
        <v>IBM 1620 Model 2 - University of St Andrews - 2.png</v>
      </c>
      <c r="H19" s="11" t="str">
        <f t="shared" si="1"/>
        <v>IBM 1620 Model 2&lt;br&gt;University of St Andrews&lt;br&gt;January 4, 1965</v>
      </c>
    </row>
    <row r="20" spans="1:8" ht="28.5">
      <c r="A20" s="3" t="s">
        <v>1</v>
      </c>
      <c r="B20" s="3" t="s">
        <v>2</v>
      </c>
      <c r="D20" s="3" t="s">
        <v>7</v>
      </c>
      <c r="E20" s="3" t="s">
        <v>8</v>
      </c>
      <c r="F20" s="5">
        <v>1</v>
      </c>
      <c r="G20" s="3" t="str">
        <f t="shared" si="0"/>
        <v>IBM 1620 Model 2 - USC System Simulation Lab - 1.png</v>
      </c>
      <c r="H20" s="11" t="str">
        <f t="shared" si="1"/>
        <v>IBM 1620 Model 2&lt;br&gt;USC System Simulation Lab&lt;br&gt;Simulation&lt;br&gt;April 1965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2026-07-31T23:32:29Z</dcterms:modified>
</cp:coreProperties>
</file>