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0 Model 1\"/>
    </mc:Choice>
  </mc:AlternateContent>
  <xr:revisionPtr revIDLastSave="0" documentId="13_ncr:1_{76E34FF5-2F56-4F1C-B0CB-C7DD0FF810D8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" l="1"/>
  <c r="G23" i="1"/>
  <c r="H22" i="1"/>
  <c r="G22" i="1"/>
  <c r="H33" i="1"/>
  <c r="G33" i="1"/>
  <c r="H43" i="1"/>
  <c r="G43" i="1"/>
  <c r="H21" i="1"/>
  <c r="G21" i="1"/>
  <c r="H49" i="1"/>
  <c r="G49" i="1"/>
  <c r="G48" i="1"/>
  <c r="H48" i="1"/>
  <c r="H20" i="1"/>
  <c r="G20" i="1"/>
  <c r="H19" i="1"/>
  <c r="G19" i="1"/>
  <c r="H18" i="1"/>
  <c r="G18" i="1"/>
  <c r="H45" i="1"/>
  <c r="H25" i="1"/>
  <c r="G45" i="1"/>
  <c r="H17" i="1"/>
  <c r="G17" i="1"/>
  <c r="H13" i="1"/>
  <c r="G13" i="1"/>
  <c r="H53" i="1"/>
  <c r="H52" i="1"/>
  <c r="H51" i="1"/>
  <c r="H50" i="1"/>
  <c r="H47" i="1"/>
  <c r="H46" i="1"/>
  <c r="H44" i="1"/>
  <c r="H42" i="1"/>
  <c r="H41" i="1"/>
  <c r="H40" i="1"/>
  <c r="H39" i="1"/>
  <c r="H38" i="1"/>
  <c r="H37" i="1"/>
  <c r="H36" i="1"/>
  <c r="H35" i="1"/>
  <c r="H34" i="1"/>
  <c r="H32" i="1"/>
  <c r="H31" i="1"/>
  <c r="H30" i="1"/>
  <c r="H29" i="1"/>
  <c r="H28" i="1"/>
  <c r="H27" i="1"/>
  <c r="H26" i="1"/>
  <c r="H24" i="1"/>
  <c r="H16" i="1"/>
  <c r="H15" i="1"/>
  <c r="H14" i="1"/>
  <c r="H12" i="1"/>
  <c r="H11" i="1"/>
  <c r="H10" i="1"/>
  <c r="H9" i="1"/>
  <c r="H8" i="1"/>
  <c r="H7" i="1"/>
  <c r="H6" i="1"/>
  <c r="H5" i="1"/>
  <c r="H4" i="1"/>
  <c r="G53" i="1"/>
  <c r="G52" i="1"/>
  <c r="G51" i="1"/>
  <c r="G50" i="1"/>
  <c r="G47" i="1"/>
  <c r="G46" i="1"/>
  <c r="G44" i="1"/>
  <c r="G42" i="1"/>
  <c r="G41" i="1"/>
  <c r="G40" i="1"/>
  <c r="G39" i="1"/>
  <c r="G38" i="1"/>
  <c r="G37" i="1"/>
  <c r="G36" i="1"/>
  <c r="G35" i="1"/>
  <c r="G34" i="1"/>
  <c r="G32" i="1"/>
  <c r="G31" i="1"/>
  <c r="G30" i="1"/>
  <c r="G29" i="1"/>
  <c r="G28" i="1"/>
  <c r="G27" i="1"/>
  <c r="G26" i="1"/>
  <c r="G25" i="1"/>
  <c r="G24" i="1"/>
  <c r="G16" i="1"/>
  <c r="G15" i="1"/>
  <c r="G14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<sst xmlns="http://schemas.openxmlformats.org/spreadsheetml/2006/main" count="142" uniqueCount="59">
  <si>
    <t>IBM 1620 Model 1</t>
  </si>
  <si>
    <t>Baylor University</t>
  </si>
  <si>
    <t>Bill Wetzel</t>
  </si>
  <si>
    <t>DePauw University</t>
  </si>
  <si>
    <t>Miami Herald</t>
  </si>
  <si>
    <t>Miami-Dade Junior College</t>
  </si>
  <si>
    <t>Newark College of Engineering</t>
  </si>
  <si>
    <t>Seattle World's Fair</t>
  </si>
  <si>
    <t>Stanford University</t>
  </si>
  <si>
    <t>University of Iceland</t>
  </si>
  <si>
    <t>Machine</t>
  </si>
  <si>
    <t>Location</t>
  </si>
  <si>
    <t>Date</t>
  </si>
  <si>
    <t>Newsweek</t>
  </si>
  <si>
    <t>October 1965</t>
  </si>
  <si>
    <t>October 1963</t>
  </si>
  <si>
    <t>University of Swansea</t>
  </si>
  <si>
    <t>University of Waterloo</t>
  </si>
  <si>
    <t>Wes Graham, Doug Lawson</t>
  </si>
  <si>
    <t>Kesavan, Meyers, Lawson</t>
  </si>
  <si>
    <t>Purdue University</t>
  </si>
  <si>
    <t>Charles Leslie Miller</t>
  </si>
  <si>
    <t>Massachusetts Institute of Technology</t>
  </si>
  <si>
    <t>November 9, 1964</t>
  </si>
  <si>
    <t>Source</t>
  </si>
  <si>
    <t>Ballistics Research Laboratory Report</t>
  </si>
  <si>
    <t>Students</t>
  </si>
  <si>
    <t>Northeast Wisconsin Technical College</t>
  </si>
  <si>
    <t>John Konopacki</t>
  </si>
  <si>
    <t>1962</t>
  </si>
  <si>
    <t>Asgeir, Asgeirsson, Mogens, Hansen</t>
  </si>
  <si>
    <t>University of Costa Rica</t>
  </si>
  <si>
    <t>University of Western Australia</t>
  </si>
  <si>
    <t>2012</t>
  </si>
  <si>
    <t>1965</t>
  </si>
  <si>
    <t>Description</t>
  </si>
  <si>
    <t>Unique ID # for each Location</t>
  </si>
  <si>
    <t>Caption</t>
  </si>
  <si>
    <t>Filename</t>
  </si>
  <si>
    <t>March 1961</t>
  </si>
  <si>
    <t>IBM 1620 Model 1 Photos</t>
  </si>
  <si>
    <t>Dr. Helen Ligon</t>
  </si>
  <si>
    <t>Dr. John Maniotes</t>
  </si>
  <si>
    <t>IBM Press Photo</t>
  </si>
  <si>
    <t>Siena College</t>
  </si>
  <si>
    <t>Rev. Laurence Rainville</t>
  </si>
  <si>
    <t>August 9, 1967</t>
  </si>
  <si>
    <t>January 7, 1963</t>
  </si>
  <si>
    <t>University of Miami</t>
  </si>
  <si>
    <t>July 26, 1962</t>
  </si>
  <si>
    <t>Student Advisor</t>
  </si>
  <si>
    <t>September 29, 1962</t>
  </si>
  <si>
    <t>Gail Wiggins</t>
  </si>
  <si>
    <t>Rice University</t>
  </si>
  <si>
    <t>Chronicle Magazine</t>
  </si>
  <si>
    <t>June 16, 1968</t>
  </si>
  <si>
    <t>IBM 1620 Model 1 - Rice University - 1.png</t>
  </si>
  <si>
    <t>Long Beach City College</t>
  </si>
  <si>
    <t>May 11, 1960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</si>
</sst>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53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40</v>
      </c>
      <c r="B1" s="10"/>
      <c r="C1" s="10"/>
      <c r="D1" s="10"/>
      <c r="E1" s="10"/>
      <c r="F1" s="10"/>
      <c r="G1" s="10"/>
    </row>
    <row r="3" spans="1:8" ht="72.75" thickBot="1">
      <c r="A3" s="1" t="s">
        <v>10</v>
      </c>
      <c r="B3" s="1" t="s">
        <v>11</v>
      </c>
      <c r="C3" s="1" t="s">
        <v>35</v>
      </c>
      <c r="D3" s="1" t="s">
        <v>24</v>
      </c>
      <c r="E3" s="1" t="s">
        <v>12</v>
      </c>
      <c r="F3" s="6" t="s">
        <v>36</v>
      </c>
      <c r="G3" s="1" t="s">
        <v>38</v>
      </c>
      <c r="H3" s="7" t="s">
        <v>37</v>
      </c>
    </row>
    <row r="4" spans="1:8" ht="15">
      <c r="A4" s="3" t="s">
        <v>0</v>
      </c>
      <c r="B4"/>
      <c r="C4"/>
      <c r="D4" t="s">
        <v>43</v>
      </c>
      <c r="E4"/>
      <c r="F4" s="5">
        <v>1</v>
      </c>
      <c r="G4" s="3" t="str">
        <f t="shared" ref="G4:G53" si="0">_xlfn.CONCAT(A4,IF(ISBLANK(B4),"",_xlfn.CONCAT(" - ",B4)),IF(ISBLANK(F4),"",_xlfn.CONCAT(" - ",F4)),".png")</f>
        <v>IBM 1620 Model 1 - 1.png</v>
      </c>
      <c r="H4" s="8" t="str">
        <f t="shared" ref="H4:H53" si="1">_xlfn.CONCAT(A4,IF(ISBLANK(B4),"",_xlfn.CONCAT("&lt;br&gt;",B4)),IF(ISBLANK(C4),"",_xlfn.CONCAT("&lt;br&gt;",C4)),IF(ISBLANK(D4),"",_xlfn.CONCAT("&lt;br&gt;",D4)),IF(ISBLANK(E4),"",_xlfn.CONCAT("&lt;br&gt;",E4)))</f>
        <v>IBM 1620 Model 1&lt;br&gt;IBM Press Photo</v>
      </c>
    </row>
    <row r="5" spans="1:8" ht="15">
      <c r="A5" s="3" t="s">
        <v>0</v>
      </c>
      <c r="B5"/>
      <c r="C5"/>
      <c r="D5" t="s">
        <v>43</v>
      </c>
      <c r="E5"/>
      <c r="F5" s="5">
        <v>2</v>
      </c>
      <c r="G5" s="3" t="str">
        <f t="shared" si="0"/>
        <v>IBM 1620 Model 1 - 2.png</v>
      </c>
      <c r="H5" s="8" t="str">
        <f t="shared" si="1"/>
        <v>IBM 1620 Model 1&lt;br&gt;IBM Press Photo</v>
      </c>
    </row>
    <row r="6" spans="1:8" ht="15">
      <c r="A6" s="3" t="s">
        <v>0</v>
      </c>
      <c r="B6"/>
      <c r="C6"/>
      <c r="D6"/>
      <c r="E6"/>
      <c r="F6" s="5">
        <v>3</v>
      </c>
      <c r="G6" s="3" t="str">
        <f t="shared" si="0"/>
        <v>IBM 1620 Model 1 - 3.png</v>
      </c>
      <c r="H6" s="8" t="str">
        <f t="shared" si="1"/>
        <v>IBM 1620 Model 1</v>
      </c>
    </row>
    <row r="7" spans="1:8" ht="15">
      <c r="A7" s="3" t="s">
        <v>0</v>
      </c>
      <c r="B7"/>
      <c r="C7"/>
      <c r="D7"/>
      <c r="E7"/>
      <c r="F7" s="5">
        <v>4</v>
      </c>
      <c r="G7" s="3" t="str">
        <f t="shared" si="0"/>
        <v>IBM 1620 Model 1 - 4.png</v>
      </c>
      <c r="H7" s="8" t="str">
        <f t="shared" si="1"/>
        <v>IBM 1620 Model 1</v>
      </c>
    </row>
    <row r="8" spans="1:8" ht="15">
      <c r="A8" s="3" t="s">
        <v>0</v>
      </c>
      <c r="B8"/>
      <c r="C8"/>
      <c r="D8" t="s">
        <v>43</v>
      </c>
      <c r="E8"/>
      <c r="F8" s="5">
        <v>5</v>
      </c>
      <c r="G8" s="3" t="str">
        <f t="shared" si="0"/>
        <v>IBM 1620 Model 1 - 5.png</v>
      </c>
      <c r="H8" s="8" t="str">
        <f t="shared" si="1"/>
        <v>IBM 1620 Model 1&lt;br&gt;IBM Press Photo</v>
      </c>
    </row>
    <row r="9" spans="1:8" ht="15">
      <c r="A9" s="3" t="s">
        <v>0</v>
      </c>
      <c r="B9"/>
      <c r="C9"/>
      <c r="D9"/>
      <c r="E9"/>
      <c r="F9" s="5">
        <v>6</v>
      </c>
      <c r="G9" s="3" t="str">
        <f t="shared" si="0"/>
        <v>IBM 1620 Model 1 - 6.png</v>
      </c>
      <c r="H9" s="8" t="str">
        <f t="shared" si="1"/>
        <v>IBM 1620 Model 1</v>
      </c>
    </row>
    <row r="10" spans="1:8" ht="15">
      <c r="A10" s="3" t="s">
        <v>0</v>
      </c>
      <c r="B10"/>
      <c r="C10"/>
      <c r="D10"/>
      <c r="E10"/>
      <c r="F10" s="5">
        <v>7</v>
      </c>
      <c r="G10" s="3" t="str">
        <f t="shared" si="0"/>
        <v>IBM 1620 Model 1 - 7.png</v>
      </c>
      <c r="H10" s="8" t="str">
        <f t="shared" si="1"/>
        <v>IBM 1620 Model 1</v>
      </c>
    </row>
    <row r="11" spans="1:8" ht="15">
      <c r="A11" s="3" t="s">
        <v>0</v>
      </c>
      <c r="B11"/>
      <c r="C11"/>
      <c r="D11" t="s">
        <v>43</v>
      </c>
      <c r="E11"/>
      <c r="F11" s="5">
        <v>8</v>
      </c>
      <c r="G11" s="3" t="str">
        <f t="shared" si="0"/>
        <v>IBM 1620 Model 1 - 8.png</v>
      </c>
      <c r="H11" s="8" t="str">
        <f t="shared" si="1"/>
        <v>IBM 1620 Model 1&lt;br&gt;IBM Press Photo</v>
      </c>
    </row>
    <row r="12" spans="1:8" ht="15">
      <c r="A12" s="3" t="s">
        <v>0</v>
      </c>
      <c r="B12"/>
      <c r="C12"/>
      <c r="D12"/>
      <c r="E12"/>
      <c r="F12" s="5">
        <v>9</v>
      </c>
      <c r="G12" s="3" t="str">
        <f t="shared" si="0"/>
        <v>IBM 1620 Model 1 - 9.png</v>
      </c>
      <c r="H12" s="8" t="str">
        <f t="shared" si="1"/>
        <v>IBM 1620 Model 1</v>
      </c>
    </row>
    <row r="13" spans="1:8" ht="15">
      <c r="A13" s="3" t="s">
        <v>0</v>
      </c>
      <c r="B13"/>
      <c r="C13"/>
      <c r="D13" t="s">
        <v>43</v>
      </c>
      <c r="E13" s="3"/>
      <c r="F13" s="5">
        <v>10</v>
      </c>
      <c r="G13" s="3" t="str">
        <f t="shared" si="0"/>
        <v>IBM 1620 Model 1 - 10.png</v>
      </c>
      <c r="H13" s="8" t="str">
        <f t="shared" si="1"/>
        <v>IBM 1620 Model 1&lt;br&gt;IBM Press Photo</v>
      </c>
    </row>
    <row r="14" spans="1:8" ht="15">
      <c r="A14" s="3" t="s">
        <v>0</v>
      </c>
      <c r="B14"/>
      <c r="C14"/>
      <c r="D14" t="s">
        <v>43</v>
      </c>
      <c r="E14" s="3">
        <v>1962</v>
      </c>
      <c r="F14" s="5">
        <v>11</v>
      </c>
      <c r="G14" s="3" t="str">
        <f t="shared" si="0"/>
        <v>IBM 1620 Model 1 - 11.png</v>
      </c>
      <c r="H14" s="8" t="str">
        <f t="shared" si="1"/>
        <v>IBM 1620 Model 1&lt;br&gt;IBM Press Photo&lt;br&gt;1962</v>
      </c>
    </row>
    <row r="15" spans="1:8" ht="15">
      <c r="A15" s="3" t="s">
        <v>0</v>
      </c>
      <c r="C15" s="3" t="s">
        <v>2</v>
      </c>
      <c r="D15"/>
      <c r="E15" s="3"/>
      <c r="F15" s="5">
        <v>12</v>
      </c>
      <c r="G15" s="3" t="str">
        <f t="shared" si="0"/>
        <v>IBM 1620 Model 1 - 12.png</v>
      </c>
      <c r="H15" s="8" t="str">
        <f t="shared" si="1"/>
        <v>IBM 1620 Model 1&lt;br&gt;Bill Wetzel</v>
      </c>
    </row>
    <row r="16" spans="1:8" ht="28.5">
      <c r="A16" s="3" t="s">
        <v>0</v>
      </c>
      <c r="B16" s="3"/>
      <c r="D16" s="3" t="s">
        <v>25</v>
      </c>
      <c r="E16" s="3" t="s">
        <v>39</v>
      </c>
      <c r="F16" s="5">
        <v>13</v>
      </c>
      <c r="G16" s="3" t="str">
        <f t="shared" si="0"/>
        <v>IBM 1620 Model 1 - 13.png</v>
      </c>
      <c r="H16" s="8" t="str">
        <f t="shared" si="1"/>
        <v>IBM 1620 Model 1&lt;br&gt;Ballistics Research Laboratory Report&lt;br&gt;March 1961</v>
      </c>
    </row>
    <row r="17" spans="1:8" ht="15">
      <c r="A17" s="3" t="s">
        <v>0</v>
      </c>
      <c r="B17" s="3"/>
      <c r="D17" s="3"/>
      <c r="E17" s="3"/>
      <c r="F17" s="5">
        <v>14</v>
      </c>
      <c r="G17" s="3" t="str">
        <f t="shared" si="0"/>
        <v>IBM 1620 Model 1 - 14.png</v>
      </c>
      <c r="H17" s="8" t="str">
        <f t="shared" si="1"/>
        <v>IBM 1620 Model 1</v>
      </c>
    </row>
    <row r="18" spans="1:8" ht="15">
      <c r="A18" s="3" t="s">
        <v>0</v>
      </c>
      <c r="B18" s="3"/>
      <c r="D18" s="3" t="s">
        <v>43</v>
      </c>
      <c r="E18" s="3"/>
      <c r="F18" s="5">
        <v>15</v>
      </c>
      <c r="G18" s="3" t="str">
        <f t="shared" ref="G18" si="2">_xlfn.CONCAT(A18,IF(ISBLANK(B18),"",_xlfn.CONCAT(" - ",B18)),IF(ISBLANK(F18),"",_xlfn.CONCAT(" - ",F18)),".png")</f>
        <v>IBM 1620 Model 1 - 15.png</v>
      </c>
      <c r="H18" s="8" t="str">
        <f t="shared" ref="H18" si="3">_xlfn.CONCAT(A18,IF(ISBLANK(B18),"",_xlfn.CONCAT("&lt;br&gt;",B18)),IF(ISBLANK(C18),"",_xlfn.CONCAT("&lt;br&gt;",C18)),IF(ISBLANK(D18),"",_xlfn.CONCAT("&lt;br&gt;",D18)),IF(ISBLANK(E18),"",_xlfn.CONCAT("&lt;br&gt;",E18)))</f>
        <v>IBM 1620 Model 1&lt;br&gt;IBM Press Photo</v>
      </c>
    </row>
    <row r="19" spans="1:8" ht="15">
      <c r="A19" s="3" t="s">
        <v>0</v>
      </c>
      <c r="B19" s="3"/>
      <c r="D19" s="3" t="s">
        <v>43</v>
      </c>
      <c r="E19" s="3" t="s">
        <v>47</v>
      </c>
      <c r="F19" s="5">
        <v>16</v>
      </c>
      <c r="G19" s="3" t="str">
        <f t="shared" ref="G19:G20" si="4">_xlfn.CONCAT(A19,IF(ISBLANK(B19),"",_xlfn.CONCAT(" - ",B19)),IF(ISBLANK(F19),"",_xlfn.CONCAT(" - ",F19)),".png")</f>
        <v>IBM 1620 Model 1 - 16.png</v>
      </c>
      <c r="H19" s="8" t="str">
        <f t="shared" ref="H19:H20" si="5">_xlfn.CONCAT(A19,IF(ISBLANK(B19),"",_xlfn.CONCAT("&lt;br&gt;",B19)),IF(ISBLANK(C19),"",_xlfn.CONCAT("&lt;br&gt;",C19)),IF(ISBLANK(D19),"",_xlfn.CONCAT("&lt;br&gt;",D19)),IF(ISBLANK(E19),"",_xlfn.CONCAT("&lt;br&gt;",E19)))</f>
        <v>IBM 1620 Model 1&lt;br&gt;IBM Press Photo&lt;br&gt;January 7, 1963</v>
      </c>
    </row>
    <row r="20" spans="1:8" ht="15">
      <c r="A20" s="3" t="s">
        <v>0</v>
      </c>
      <c r="B20" s="3"/>
      <c r="D20" s="3" t="s">
        <v>43</v>
      </c>
      <c r="E20" s="3"/>
      <c r="F20" s="5">
        <v>17</v>
      </c>
      <c r="G20" s="3" t="str">
        <f t="shared" si="4"/>
        <v>IBM 1620 Model 1 - 17.png</v>
      </c>
      <c r="H20" s="8" t="str">
        <f t="shared" si="5"/>
        <v>IBM 1620 Model 1&lt;br&gt;IBM Press Photo</v>
      </c>
    </row>
    <row r="21" spans="1:8" ht="28.5">
      <c r="A21" s="3" t="s">
        <v>0</v>
      </c>
      <c r="B21" s="3"/>
      <c r="C21" s="2" t="s">
        <v>52</v>
      </c>
      <c r="D21" s="3" t="s">
        <v>43</v>
      </c>
      <c r="E21" s="3" t="s">
        <v>51</v>
      </c>
      <c r="F21" s="5">
        <v>18</v>
      </c>
      <c r="G21" s="3" t="str">
        <f t="shared" ref="G21:G22" si="6">_xlfn.CONCAT(A21,IF(ISBLANK(B21),"",_xlfn.CONCAT(" - ",B21)),IF(ISBLANK(F21),"",_xlfn.CONCAT(" - ",F21)),".png")</f>
        <v>IBM 1620 Model 1 - 18.png</v>
      </c>
      <c r="H21" s="8" t="str">
        <f t="shared" ref="H21:H22" si="7">_xlfn.CONCAT(A21,IF(ISBLANK(B21),"",_xlfn.CONCAT("&lt;br&gt;",B21)),IF(ISBLANK(C21),"",_xlfn.CONCAT("&lt;br&gt;",C21)),IF(ISBLANK(D21),"",_xlfn.CONCAT("&lt;br&gt;",D21)),IF(ISBLANK(E21),"",_xlfn.CONCAT("&lt;br&gt;",E21)))</f>
        <v>IBM 1620 Model 1&lt;br&gt;Gail Wiggins&lt;br&gt;IBM Press Photo&lt;br&gt;September 29, 1962</v>
      </c>
    </row>
    <row r="22" spans="1:8" ht="15">
      <c r="A22" s="3" t="s">
        <v>0</v>
      </c>
      <c r="B22" s="3"/>
      <c r="D22" s="3" t="s">
        <v>43</v>
      </c>
      <c r="E22" s="3" t="s">
        <v>58</v>
      </c>
      <c r="F22" s="5">
        <v>19</v>
      </c>
      <c r="G22" s="3" t="str">
        <f t="shared" si="6"/>
        <v>IBM 1620 Model 1 - 19.png</v>
      </c>
      <c r="H22" s="8" t="str">
        <f t="shared" si="7"/>
        <v>IBM 1620 Model 1&lt;br&gt;IBM Press Photo&lt;br&gt;May 11, 1960</v>
      </c>
    </row>
    <row r="23" spans="1:8" ht="15">
      <c r="A23" s="3" t="s">
        <v>0</v>
      </c>
      <c r="B23" s="3"/>
      <c r="D23" s="3" t="s">
        <v>43</v>
      </c>
      <c r="E23" s="3" t="s">
        <v>58</v>
      </c>
      <c r="F23" s="5">
        <v>20</v>
      </c>
      <c r="G23" s="3" t="str">
        <f t="shared" ref="G23" si="8">_xlfn.CONCAT(A23,IF(ISBLANK(B23),"",_xlfn.CONCAT(" - ",B23)),IF(ISBLANK(F23),"",_xlfn.CONCAT(" - ",F23)),".png")</f>
        <v>IBM 1620 Model 1 - 20.png</v>
      </c>
      <c r="H23" s="8" t="str">
        <f t="shared" ref="H23" si="9">_xlfn.CONCAT(A23,IF(ISBLANK(B23),"",_xlfn.CONCAT("&lt;br&gt;",B23)),IF(ISBLANK(C23),"",_xlfn.CONCAT("&lt;br&gt;",C23)),IF(ISBLANK(D23),"",_xlfn.CONCAT("&lt;br&gt;",D23)),IF(ISBLANK(E23),"",_xlfn.CONCAT("&lt;br&gt;",E23)))</f>
        <v>IBM 1620 Model 1&lt;br&gt;IBM Press Photo&lt;br&gt;May 11, 1960</v>
      </c>
    </row>
    <row r="24" spans="1:8" ht="15">
      <c r="A24" s="3" t="s">
        <v>0</v>
      </c>
      <c r="B24" s="3" t="s">
        <v>1</v>
      </c>
      <c r="D24"/>
      <c r="E24" s="3">
        <v>1962</v>
      </c>
      <c r="F24" s="5">
        <v>1</v>
      </c>
      <c r="G24" s="3" t="str">
        <f t="shared" si="0"/>
        <v>IBM 1620 Model 1 - Baylor University - 1.png</v>
      </c>
      <c r="H24" s="8" t="str">
        <f t="shared" si="1"/>
        <v>IBM 1620 Model 1&lt;br&gt;Baylor University&lt;br&gt;1962</v>
      </c>
    </row>
    <row r="25" spans="1:8" ht="15">
      <c r="A25" s="3" t="s">
        <v>0</v>
      </c>
      <c r="B25" s="3" t="s">
        <v>1</v>
      </c>
      <c r="C25" s="2" t="s">
        <v>41</v>
      </c>
      <c r="D25"/>
      <c r="E25" s="3">
        <v>1962</v>
      </c>
      <c r="F25" s="5">
        <v>2</v>
      </c>
      <c r="G25" s="3" t="str">
        <f t="shared" si="0"/>
        <v>IBM 1620 Model 1 - Baylor University - 2.png</v>
      </c>
      <c r="H25" s="8" t="str">
        <f t="shared" si="1"/>
        <v>IBM 1620 Model 1&lt;br&gt;Baylor University&lt;br&gt;Dr. Helen Ligon&lt;br&gt;1962</v>
      </c>
    </row>
    <row r="26" spans="1:8" ht="15">
      <c r="A26" s="3" t="s">
        <v>0</v>
      </c>
      <c r="B26" s="3" t="s">
        <v>1</v>
      </c>
      <c r="C26" s="2" t="s">
        <v>41</v>
      </c>
      <c r="D26"/>
      <c r="E26" s="3">
        <v>1962</v>
      </c>
      <c r="F26" s="5">
        <v>3</v>
      </c>
      <c r="G26" s="3" t="str">
        <f t="shared" si="0"/>
        <v>IBM 1620 Model 1 - Baylor University - 3.png</v>
      </c>
      <c r="H26" s="8" t="str">
        <f t="shared" si="1"/>
        <v>IBM 1620 Model 1&lt;br&gt;Baylor University&lt;br&gt;Dr. Helen Ligon&lt;br&gt;1962</v>
      </c>
    </row>
    <row r="27" spans="1:8" ht="15">
      <c r="A27" s="3" t="s">
        <v>0</v>
      </c>
      <c r="B27" s="3" t="s">
        <v>1</v>
      </c>
      <c r="C27" s="2" t="s">
        <v>26</v>
      </c>
      <c r="D27"/>
      <c r="E27" s="3">
        <v>1962</v>
      </c>
      <c r="F27" s="5">
        <v>4</v>
      </c>
      <c r="G27" s="3" t="str">
        <f t="shared" si="0"/>
        <v>IBM 1620 Model 1 - Baylor University - 4.png</v>
      </c>
      <c r="H27" s="8" t="str">
        <f t="shared" si="1"/>
        <v>IBM 1620 Model 1&lt;br&gt;Baylor University&lt;br&gt;Students&lt;br&gt;1962</v>
      </c>
    </row>
    <row r="28" spans="1:8" ht="15">
      <c r="A28" s="3" t="s">
        <v>0</v>
      </c>
      <c r="B28" s="3" t="s">
        <v>1</v>
      </c>
      <c r="C28" s="2" t="s">
        <v>26</v>
      </c>
      <c r="D28"/>
      <c r="E28" s="3">
        <v>1962</v>
      </c>
      <c r="F28" s="5">
        <v>5</v>
      </c>
      <c r="G28" s="3" t="str">
        <f t="shared" si="0"/>
        <v>IBM 1620 Model 1 - Baylor University - 5.png</v>
      </c>
      <c r="H28" s="8" t="str">
        <f t="shared" si="1"/>
        <v>IBM 1620 Model 1&lt;br&gt;Baylor University&lt;br&gt;Students&lt;br&gt;1962</v>
      </c>
    </row>
    <row r="29" spans="1:8" ht="15">
      <c r="A29" s="3" t="s">
        <v>0</v>
      </c>
      <c r="B29" s="3" t="s">
        <v>1</v>
      </c>
      <c r="C29" s="2" t="s">
        <v>26</v>
      </c>
      <c r="D29"/>
      <c r="E29" s="3">
        <v>1962</v>
      </c>
      <c r="F29" s="5">
        <v>6</v>
      </c>
      <c r="G29" s="3" t="str">
        <f t="shared" si="0"/>
        <v>IBM 1620 Model 1 - Baylor University - 6.png</v>
      </c>
      <c r="H29" s="8" t="str">
        <f t="shared" si="1"/>
        <v>IBM 1620 Model 1&lt;br&gt;Baylor University&lt;br&gt;Students&lt;br&gt;1962</v>
      </c>
    </row>
    <row r="30" spans="1:8" ht="15">
      <c r="A30" s="3" t="s">
        <v>0</v>
      </c>
      <c r="B30" s="3" t="s">
        <v>1</v>
      </c>
      <c r="C30" s="2" t="s">
        <v>26</v>
      </c>
      <c r="D30"/>
      <c r="E30" s="3">
        <v>1962</v>
      </c>
      <c r="F30" s="5">
        <v>7</v>
      </c>
      <c r="G30" s="3" t="str">
        <f t="shared" si="0"/>
        <v>IBM 1620 Model 1 - Baylor University - 7.png</v>
      </c>
      <c r="H30" s="8" t="str">
        <f t="shared" si="1"/>
        <v>IBM 1620 Model 1&lt;br&gt;Baylor University&lt;br&gt;Students&lt;br&gt;1962</v>
      </c>
    </row>
    <row r="31" spans="1:8" ht="15">
      <c r="A31" s="3" t="s">
        <v>0</v>
      </c>
      <c r="B31" s="3" t="s">
        <v>1</v>
      </c>
      <c r="C31" s="2" t="s">
        <v>26</v>
      </c>
      <c r="D31"/>
      <c r="E31" s="3">
        <v>1962</v>
      </c>
      <c r="F31" s="5">
        <v>8</v>
      </c>
      <c r="G31" s="3" t="str">
        <f t="shared" si="0"/>
        <v>IBM 1620 Model 1 - Baylor University - 8.png</v>
      </c>
      <c r="H31" s="8" t="str">
        <f t="shared" si="1"/>
        <v>IBM 1620 Model 1&lt;br&gt;Baylor University&lt;br&gt;Students&lt;br&gt;1962</v>
      </c>
    </row>
    <row r="32" spans="1:8" ht="15">
      <c r="A32" s="3" t="s">
        <v>0</v>
      </c>
      <c r="B32" s="3" t="s">
        <v>3</v>
      </c>
      <c r="D32"/>
      <c r="E32" s="3"/>
      <c r="F32" s="5">
        <v>1</v>
      </c>
      <c r="G32" s="3" t="str">
        <f t="shared" si="0"/>
        <v>IBM 1620 Model 1 - DePauw University - 1.png</v>
      </c>
      <c r="H32" s="8" t="str">
        <f t="shared" si="1"/>
        <v>IBM 1620 Model 1&lt;br&gt;DePauw University</v>
      </c>
    </row>
    <row r="33" spans="1:8" ht="15">
      <c r="A33" s="3" t="s">
        <v>0</v>
      </c>
      <c r="B33" s="3" t="s">
        <v>57</v>
      </c>
      <c r="D33" s="3"/>
      <c r="E33" s="3"/>
      <c r="F33" s="5">
        <v>1</v>
      </c>
      <c r="G33" s="3" t="str">
        <f t="shared" ref="G33" si="10">_xlfn.CONCAT(A33,IF(ISBLANK(B33),"",_xlfn.CONCAT(" - ",B33)),IF(ISBLANK(F33),"",_xlfn.CONCAT(" - ",F33)),".png")</f>
        <v>IBM 1620 Model 1 - Long Beach City College - 1.png</v>
      </c>
      <c r="H33" s="8" t="str">
        <f t="shared" ref="H33" si="11">_xlfn.CONCAT(A33,IF(ISBLANK(B33),"",_xlfn.CONCAT("&lt;br&gt;",B33)),IF(ISBLANK(C33),"",_xlfn.CONCAT("&lt;br&gt;",C33)),IF(ISBLANK(D33),"",_xlfn.CONCAT("&lt;br&gt;",D33)),IF(ISBLANK(E33),"",_xlfn.CONCAT("&lt;br&gt;",E33)))</f>
        <v>IBM 1620 Model 1&lt;br&gt;Long Beach City College</v>
      </c>
    </row>
    <row r="34" spans="1:8" ht="42.75">
      <c r="A34" s="3" t="s">
        <v>0</v>
      </c>
      <c r="B34" s="3" t="s">
        <v>22</v>
      </c>
      <c r="C34" s="2" t="s">
        <v>21</v>
      </c>
      <c r="D34" t="s">
        <v>56</v>
      </c>
      <c r="E34" s="3">
        <v>1964</v>
      </c>
      <c r="F34" s="5">
        <v>1</v>
      </c>
      <c r="G34" s="3" t="str">
        <f t="shared" si="0"/>
        <v>IBM 1620 Model 1 - Massachusetts Institute of Technology - 1.png</v>
      </c>
      <c r="H34" s="8" t="str">
        <f t="shared" si="1"/>
        <v>IBM 1620 Model 1&lt;br&gt;Massachusetts Institute of Technology&lt;br&gt;Charles Leslie Miller&lt;br&gt;IBM 1620 Model 1 - Rice University - 1.png&lt;br&gt;1964</v>
      </c>
    </row>
    <row r="35" spans="1:8" ht="28.5">
      <c r="A35" s="3" t="s">
        <v>0</v>
      </c>
      <c r="B35" s="3" t="s">
        <v>22</v>
      </c>
      <c r="C35" s="2" t="s">
        <v>21</v>
      </c>
      <c r="D35"/>
      <c r="E35" s="3">
        <v>1964</v>
      </c>
      <c r="F35" s="5">
        <v>2</v>
      </c>
      <c r="G35" s="3" t="str">
        <f t="shared" si="0"/>
        <v>IBM 1620 Model 1 - Massachusetts Institute of Technology - 2.png</v>
      </c>
      <c r="H35" s="8" t="str">
        <f t="shared" si="1"/>
        <v>IBM 1620 Model 1&lt;br&gt;Massachusetts Institute of Technology&lt;br&gt;Charles Leslie Miller&lt;br&gt;1964</v>
      </c>
    </row>
    <row r="36" spans="1:8" ht="28.5">
      <c r="A36" s="3" t="s">
        <v>0</v>
      </c>
      <c r="B36" s="3" t="s">
        <v>22</v>
      </c>
      <c r="C36" s="2" t="s">
        <v>21</v>
      </c>
      <c r="D36"/>
      <c r="E36" s="3">
        <v>1964</v>
      </c>
      <c r="F36" s="5">
        <v>3</v>
      </c>
      <c r="G36" s="3" t="str">
        <f t="shared" si="0"/>
        <v>IBM 1620 Model 1 - Massachusetts Institute of Technology - 3.png</v>
      </c>
      <c r="H36" s="8" t="str">
        <f t="shared" si="1"/>
        <v>IBM 1620 Model 1&lt;br&gt;Massachusetts Institute of Technology&lt;br&gt;Charles Leslie Miller&lt;br&gt;1964</v>
      </c>
    </row>
    <row r="37" spans="1:8" ht="28.5">
      <c r="A37" s="3" t="s">
        <v>0</v>
      </c>
      <c r="B37" s="3" t="s">
        <v>22</v>
      </c>
      <c r="C37" s="2" t="s">
        <v>21</v>
      </c>
      <c r="D37"/>
      <c r="E37" s="3">
        <v>1964</v>
      </c>
      <c r="F37" s="5">
        <v>4</v>
      </c>
      <c r="G37" s="3" t="str">
        <f t="shared" si="0"/>
        <v>IBM 1620 Model 1 - Massachusetts Institute of Technology - 4.png</v>
      </c>
      <c r="H37" s="8" t="str">
        <f t="shared" si="1"/>
        <v>IBM 1620 Model 1&lt;br&gt;Massachusetts Institute of Technology&lt;br&gt;Charles Leslie Miller&lt;br&gt;1964</v>
      </c>
    </row>
    <row r="38" spans="1:8" ht="28.5">
      <c r="A38" s="3" t="s">
        <v>0</v>
      </c>
      <c r="B38" s="3" t="s">
        <v>4</v>
      </c>
      <c r="D38" s="3" t="s">
        <v>13</v>
      </c>
      <c r="E38" s="3" t="s">
        <v>23</v>
      </c>
      <c r="F38" s="5">
        <v>1</v>
      </c>
      <c r="G38" s="3" t="str">
        <f t="shared" si="0"/>
        <v>IBM 1620 Model 1 - Miami Herald - 1.png</v>
      </c>
      <c r="H38" s="8" t="str">
        <f t="shared" si="1"/>
        <v>IBM 1620 Model 1&lt;br&gt;Miami Herald&lt;br&gt;Newsweek&lt;br&gt;November 9, 1964</v>
      </c>
    </row>
    <row r="39" spans="1:8" ht="15">
      <c r="A39" s="3" t="s">
        <v>0</v>
      </c>
      <c r="B39" s="3" t="s">
        <v>5</v>
      </c>
      <c r="D39" s="3"/>
      <c r="E39" s="3">
        <v>1963</v>
      </c>
      <c r="F39" s="5">
        <v>1</v>
      </c>
      <c r="G39" s="3" t="str">
        <f t="shared" si="0"/>
        <v>IBM 1620 Model 1 - Miami-Dade Junior College - 1.png</v>
      </c>
      <c r="H39" s="8" t="str">
        <f t="shared" si="1"/>
        <v>IBM 1620 Model 1&lt;br&gt;Miami-Dade Junior College&lt;br&gt;1963</v>
      </c>
    </row>
    <row r="40" spans="1:8" ht="15">
      <c r="A40" s="3" t="s">
        <v>0</v>
      </c>
      <c r="B40" s="3" t="s">
        <v>6</v>
      </c>
      <c r="D40" s="3"/>
      <c r="E40" s="3" t="s">
        <v>14</v>
      </c>
      <c r="F40" s="5">
        <v>1</v>
      </c>
      <c r="G40" s="3" t="str">
        <f t="shared" si="0"/>
        <v>IBM 1620 Model 1 - Newark College of Engineering - 1.png</v>
      </c>
      <c r="H40" s="8" t="str">
        <f t="shared" si="1"/>
        <v>IBM 1620 Model 1&lt;br&gt;Newark College of Engineering&lt;br&gt;October 1965</v>
      </c>
    </row>
    <row r="41" spans="1:8" ht="28.5">
      <c r="A41" s="3" t="s">
        <v>0</v>
      </c>
      <c r="B41" s="3" t="s">
        <v>27</v>
      </c>
      <c r="C41" s="2" t="s">
        <v>28</v>
      </c>
      <c r="D41" s="3"/>
      <c r="E41" s="3" t="s">
        <v>29</v>
      </c>
      <c r="F41" s="5">
        <v>1</v>
      </c>
      <c r="G41" s="3" t="str">
        <f t="shared" si="0"/>
        <v>IBM 1620 Model 1 - Northeast Wisconsin Technical College - 1.png</v>
      </c>
      <c r="H41" s="8" t="str">
        <f t="shared" si="1"/>
        <v>IBM 1620 Model 1&lt;br&gt;Northeast Wisconsin Technical College&lt;br&gt;John Konopacki&lt;br&gt;1962</v>
      </c>
    </row>
    <row r="42" spans="1:8" ht="28.5">
      <c r="A42" s="3" t="s">
        <v>0</v>
      </c>
      <c r="B42" s="3" t="s">
        <v>20</v>
      </c>
      <c r="C42" s="2" t="s">
        <v>42</v>
      </c>
      <c r="D42" s="3"/>
      <c r="E42" s="3">
        <v>2000</v>
      </c>
      <c r="F42" s="5">
        <v>1</v>
      </c>
      <c r="G42" s="3" t="str">
        <f t="shared" si="0"/>
        <v>IBM 1620 Model 1 - Purdue University - 1.png</v>
      </c>
      <c r="H42" s="8" t="str">
        <f t="shared" si="1"/>
        <v>IBM 1620 Model 1&lt;br&gt;Purdue University&lt;br&gt;Dr. John Maniotes&lt;br&gt;2000</v>
      </c>
    </row>
    <row r="43" spans="1:8" ht="28.5">
      <c r="A43" s="3" t="s">
        <v>0</v>
      </c>
      <c r="B43" s="3" t="s">
        <v>53</v>
      </c>
      <c r="C43" s="2" t="s">
        <v>26</v>
      </c>
      <c r="D43" s="3" t="s">
        <v>54</v>
      </c>
      <c r="E43" s="3" t="s">
        <v>55</v>
      </c>
      <c r="F43" s="5">
        <v>1</v>
      </c>
      <c r="G43" s="3" t="str">
        <f t="shared" ref="G43" si="12">_xlfn.CONCAT(A43,IF(ISBLANK(B43),"",_xlfn.CONCAT(" - ",B43)),IF(ISBLANK(F43),"",_xlfn.CONCAT(" - ",F43)),".png")</f>
        <v>IBM 1620 Model 1 - Rice University - 1.png</v>
      </c>
      <c r="H43" s="8" t="str">
        <f t="shared" ref="H43" si="13">_xlfn.CONCAT(A43,IF(ISBLANK(B43),"",_xlfn.CONCAT("&lt;br&gt;",B43)),IF(ISBLANK(C43),"",_xlfn.CONCAT("&lt;br&gt;",C43)),IF(ISBLANK(D43),"",_xlfn.CONCAT("&lt;br&gt;",D43)),IF(ISBLANK(E43),"",_xlfn.CONCAT("&lt;br&gt;",E43)))</f>
        <v>IBM 1620 Model 1&lt;br&gt;Rice University&lt;br&gt;Students&lt;br&gt;Chronicle Magazine&lt;br&gt;June 16, 1968</v>
      </c>
    </row>
    <row r="44" spans="1:8" ht="15">
      <c r="A44" s="3" t="s">
        <v>0</v>
      </c>
      <c r="B44" s="3" t="s">
        <v>7</v>
      </c>
      <c r="D44" s="3"/>
      <c r="E44" s="3">
        <v>1962</v>
      </c>
      <c r="F44" s="5">
        <v>1</v>
      </c>
      <c r="G44" s="3" t="str">
        <f t="shared" si="0"/>
        <v>IBM 1620 Model 1 - Seattle World's Fair - 1.png</v>
      </c>
      <c r="H44" s="8" t="str">
        <f t="shared" si="1"/>
        <v>IBM 1620 Model 1&lt;br&gt;Seattle World's Fair&lt;br&gt;1962</v>
      </c>
    </row>
    <row r="45" spans="1:8" ht="28.5">
      <c r="A45" s="3" t="s">
        <v>0</v>
      </c>
      <c r="B45" s="3" t="s">
        <v>44</v>
      </c>
      <c r="C45" s="2" t="s">
        <v>45</v>
      </c>
      <c r="D45" s="3"/>
      <c r="E45" s="3" t="s">
        <v>46</v>
      </c>
      <c r="F45" s="5">
        <v>1</v>
      </c>
      <c r="G45" s="3" t="str">
        <f t="shared" si="0"/>
        <v>IBM 1620 Model 1 - Siena College - 1.png</v>
      </c>
      <c r="H45" s="8" t="str">
        <f t="shared" si="1"/>
        <v>IBM 1620 Model 1&lt;br&gt;Siena College&lt;br&gt;Rev. Laurence Rainville&lt;br&gt;August 9, 1967</v>
      </c>
    </row>
    <row r="46" spans="1:8" ht="15">
      <c r="A46" s="3" t="s">
        <v>0</v>
      </c>
      <c r="B46" s="3" t="s">
        <v>8</v>
      </c>
      <c r="D46" s="3"/>
      <c r="E46" s="3"/>
      <c r="F46" s="5">
        <v>1</v>
      </c>
      <c r="G46" s="3" t="str">
        <f t="shared" si="0"/>
        <v>IBM 1620 Model 1 - Stanford University - 1.png</v>
      </c>
      <c r="H46" s="8" t="str">
        <f t="shared" si="1"/>
        <v>IBM 1620 Model 1&lt;br&gt;Stanford University</v>
      </c>
    </row>
    <row r="47" spans="1:8" ht="15">
      <c r="A47" s="3" t="s">
        <v>0</v>
      </c>
      <c r="B47" s="3" t="s">
        <v>31</v>
      </c>
      <c r="D47" s="3"/>
      <c r="E47" s="3" t="s">
        <v>34</v>
      </c>
      <c r="F47" s="5">
        <v>1</v>
      </c>
      <c r="G47" s="3" t="str">
        <f t="shared" si="0"/>
        <v>IBM 1620 Model 1 - University of Costa Rica - 1.png</v>
      </c>
      <c r="H47" s="8" t="str">
        <f t="shared" si="1"/>
        <v>IBM 1620 Model 1&lt;br&gt;University of Costa Rica&lt;br&gt;1965</v>
      </c>
    </row>
    <row r="48" spans="1:8" ht="28.5">
      <c r="A48" s="3" t="s">
        <v>0</v>
      </c>
      <c r="B48" s="3" t="s">
        <v>9</v>
      </c>
      <c r="C48" s="2" t="s">
        <v>30</v>
      </c>
      <c r="D48" s="3"/>
      <c r="E48" s="3" t="s">
        <v>15</v>
      </c>
      <c r="F48" s="5">
        <v>1</v>
      </c>
      <c r="G48" s="3" t="str">
        <f t="shared" si="0"/>
        <v>IBM 1620 Model 1 - University of Iceland - 1.png</v>
      </c>
      <c r="H48" s="8" t="str">
        <f t="shared" si="1"/>
        <v>IBM 1620 Model 1&lt;br&gt;University of Iceland&lt;br&gt;Asgeir, Asgeirsson, Mogens, Hansen&lt;br&gt;October 1963</v>
      </c>
    </row>
    <row r="49" spans="1:8" ht="28.5">
      <c r="A49" s="3" t="s">
        <v>0</v>
      </c>
      <c r="B49" s="3" t="s">
        <v>48</v>
      </c>
      <c r="C49" s="2" t="s">
        <v>50</v>
      </c>
      <c r="D49" s="3" t="s">
        <v>4</v>
      </c>
      <c r="E49" s="3" t="s">
        <v>49</v>
      </c>
      <c r="F49" s="5">
        <v>1</v>
      </c>
      <c r="G49" s="3" t="str">
        <f t="shared" ref="G49" si="14">_xlfn.CONCAT(A49,IF(ISBLANK(B49),"",_xlfn.CONCAT(" - ",B49)),IF(ISBLANK(F49),"",_xlfn.CONCAT(" - ",F49)),".png")</f>
        <v>IBM 1620 Model 1 - University of Miami - 1.png</v>
      </c>
      <c r="H49" s="8" t="str">
        <f t="shared" ref="H49" si="15">_xlfn.CONCAT(A49,IF(ISBLANK(B49),"",_xlfn.CONCAT("&lt;br&gt;",B49)),IF(ISBLANK(C49),"",_xlfn.CONCAT("&lt;br&gt;",C49)),IF(ISBLANK(D49),"",_xlfn.CONCAT("&lt;br&gt;",D49)),IF(ISBLANK(E49),"",_xlfn.CONCAT("&lt;br&gt;",E49)))</f>
        <v>IBM 1620 Model 1&lt;br&gt;University of Miami&lt;br&gt;Student Advisor&lt;br&gt;Miami Herald&lt;br&gt;July 26, 1962</v>
      </c>
    </row>
    <row r="50" spans="1:8" ht="15">
      <c r="A50" s="3" t="s">
        <v>0</v>
      </c>
      <c r="B50" s="3" t="s">
        <v>16</v>
      </c>
      <c r="C50" s="2" t="s">
        <v>26</v>
      </c>
      <c r="D50" s="3"/>
      <c r="E50" s="3">
        <v>1965</v>
      </c>
      <c r="F50" s="5">
        <v>1</v>
      </c>
      <c r="G50" s="3" t="str">
        <f t="shared" si="0"/>
        <v>IBM 1620 Model 1 - University of Swansea - 1.png</v>
      </c>
      <c r="H50" s="8" t="str">
        <f t="shared" si="1"/>
        <v>IBM 1620 Model 1&lt;br&gt;University of Swansea&lt;br&gt;Students&lt;br&gt;1965</v>
      </c>
    </row>
    <row r="51" spans="1:8" ht="28.5">
      <c r="A51" s="3" t="s">
        <v>0</v>
      </c>
      <c r="B51" s="3" t="s">
        <v>17</v>
      </c>
      <c r="C51" s="2" t="s">
        <v>19</v>
      </c>
      <c r="D51" s="3"/>
      <c r="E51" s="3">
        <v>1960</v>
      </c>
      <c r="F51" s="5">
        <v>1</v>
      </c>
      <c r="G51" s="3" t="str">
        <f t="shared" si="0"/>
        <v>IBM 1620 Model 1 - University of Waterloo - 1.png</v>
      </c>
      <c r="H51" s="8" t="str">
        <f t="shared" si="1"/>
        <v>IBM 1620 Model 1&lt;br&gt;University of Waterloo&lt;br&gt;Kesavan, Meyers, Lawson&lt;br&gt;1960</v>
      </c>
    </row>
    <row r="52" spans="1:8" ht="28.5">
      <c r="A52" s="3" t="s">
        <v>0</v>
      </c>
      <c r="B52" s="3" t="s">
        <v>17</v>
      </c>
      <c r="C52" s="2" t="s">
        <v>18</v>
      </c>
      <c r="D52" s="3"/>
      <c r="E52" s="3">
        <v>1960</v>
      </c>
      <c r="F52" s="5">
        <v>2</v>
      </c>
      <c r="G52" s="3" t="str">
        <f t="shared" si="0"/>
        <v>IBM 1620 Model 1 - University of Waterloo - 2.png</v>
      </c>
      <c r="H52" s="8" t="str">
        <f t="shared" si="1"/>
        <v>IBM 1620 Model 1&lt;br&gt;University of Waterloo&lt;br&gt;Wes Graham, Doug Lawson&lt;br&gt;1960</v>
      </c>
    </row>
    <row r="53" spans="1:8" ht="15">
      <c r="A53" s="3" t="s">
        <v>0</v>
      </c>
      <c r="B53" s="3" t="s">
        <v>32</v>
      </c>
      <c r="D53" s="3"/>
      <c r="E53" s="3" t="s">
        <v>33</v>
      </c>
      <c r="F53" s="5">
        <v>1</v>
      </c>
      <c r="G53" s="3" t="str">
        <f t="shared" si="0"/>
        <v>IBM 1620 Model 1 - University of Western Australia - 1.png</v>
      </c>
      <c r="H53" s="8" t="str">
        <f t="shared" si="1"/>
        <v>IBM 1620 Model 1&lt;br&gt;University of Western Australia&lt;br&gt;2012</v>
      </c>
    </row>
  </sheetData>
  <sortState xmlns:xlrd2="http://schemas.microsoft.com/office/spreadsheetml/2017/richdata2" ref="A4:H53">
    <sortCondition ref="B24:B53"/>
    <sortCondition ref="F24:F53"/>
  </sortState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2026-07-24T01:06:20Z</dcterms:modified>
</cp:coreProperties>
</file>