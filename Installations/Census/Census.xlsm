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Installations\Census\"/>
    </mc:Choice>
  </mc:AlternateContent>
  <xr:revisionPtr revIDLastSave="0" documentId="13_ncr:1_{B177050D-B5FB-4225-A04E-CA7557EA5F3B}" xr6:coauthVersionLast="47" xr6:coauthVersionMax="47" xr10:uidLastSave="{00000000-0000-0000-0000-000000000000}"/>
  <bookViews>
    <workbookView xWindow="28680" yWindow="-120" windowWidth="29040" windowHeight="18240" xr2:uid="{37223E90-EFEF-4E66-9B26-0C2D54806431}"/>
  </bookViews>
  <sheets>
    <sheet name="Census" sheetId="1" r:id="rId1"/>
    <sheet name="IBM 1620" sheetId="2" r:id="rId2"/>
    <sheet name="Graph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7" i="2" l="1"/>
  <c r="E118" i="2" s="1"/>
  <c r="E119" i="2" s="1"/>
  <c r="E116" i="2"/>
  <c r="F116" i="2"/>
  <c r="E135" i="2"/>
  <c r="E133" i="2"/>
  <c r="E131" i="2"/>
  <c r="E129" i="2"/>
  <c r="E127" i="2"/>
  <c r="E125" i="2"/>
  <c r="E123" i="2"/>
  <c r="E121" i="2"/>
  <c r="E114" i="2"/>
  <c r="E97" i="2"/>
  <c r="E98" i="2" s="1"/>
  <c r="E99" i="2" s="1"/>
  <c r="E96" i="2"/>
  <c r="F96" i="2"/>
  <c r="E93" i="2"/>
  <c r="E81" i="2"/>
  <c r="E69" i="2"/>
  <c r="E57" i="2"/>
  <c r="E53" i="2"/>
  <c r="E45" i="2"/>
  <c r="E33" i="2"/>
  <c r="E34" i="2"/>
  <c r="E35" i="2"/>
  <c r="E36" i="2"/>
  <c r="E32" i="2"/>
  <c r="F32" i="2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6" i="2"/>
  <c r="E5" i="2"/>
  <c r="F5" i="2"/>
  <c r="E4" i="2"/>
  <c r="E31" i="2"/>
  <c r="E37" i="2"/>
  <c r="E38" i="2"/>
  <c r="E39" i="2"/>
  <c r="E40" i="2"/>
  <c r="E41" i="2"/>
  <c r="E42" i="2"/>
  <c r="E43" i="2"/>
  <c r="E44" i="2"/>
  <c r="E46" i="2"/>
  <c r="E47" i="2"/>
  <c r="E48" i="2"/>
  <c r="E49" i="2"/>
  <c r="E50" i="2"/>
  <c r="E51" i="2"/>
  <c r="E52" i="2"/>
  <c r="E54" i="2"/>
  <c r="E55" i="2"/>
  <c r="E56" i="2"/>
  <c r="E58" i="2"/>
  <c r="E59" i="2"/>
  <c r="E60" i="2"/>
  <c r="E61" i="2"/>
  <c r="E62" i="2"/>
  <c r="E63" i="2"/>
  <c r="E64" i="2"/>
  <c r="E65" i="2"/>
  <c r="E66" i="2"/>
  <c r="E67" i="2"/>
  <c r="E68" i="2"/>
  <c r="E70" i="2"/>
  <c r="E71" i="2"/>
  <c r="E72" i="2"/>
  <c r="E73" i="2"/>
  <c r="E74" i="2"/>
  <c r="E75" i="2"/>
  <c r="E76" i="2"/>
  <c r="E77" i="2"/>
  <c r="E78" i="2"/>
  <c r="E79" i="2"/>
  <c r="E80" i="2"/>
  <c r="E82" i="2"/>
  <c r="E83" i="2"/>
  <c r="E84" i="2"/>
  <c r="E85" i="2"/>
  <c r="E86" i="2"/>
  <c r="E87" i="2"/>
  <c r="E88" i="2"/>
  <c r="E89" i="2"/>
  <c r="E90" i="2"/>
  <c r="E91" i="2"/>
  <c r="E92" i="2"/>
  <c r="E94" i="2"/>
  <c r="E95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5" i="2"/>
  <c r="E120" i="2"/>
  <c r="E122" i="2"/>
  <c r="E124" i="2"/>
  <c r="E126" i="2"/>
  <c r="E128" i="2"/>
  <c r="E130" i="2"/>
  <c r="E132" i="2"/>
  <c r="E134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<sst xmlns="http://schemas.openxmlformats.org/spreadsheetml/2006/main" count="216" uniqueCount="26">
  <si>
    <t>Computer Census</t>
  </si>
  <si>
    <t>Computers and Automation</t>
  </si>
  <si>
    <t>Computer Census as of January 1960</t>
  </si>
  <si>
    <t>Digital Computer Census</t>
  </si>
  <si>
    <t>Monthlly Computer Census</t>
  </si>
  <si>
    <t>Monthly Computer Census</t>
  </si>
  <si>
    <t>World Computer Census</t>
  </si>
  <si>
    <t>Date</t>
  </si>
  <si>
    <t>Title</t>
  </si>
  <si>
    <t>Publication</t>
  </si>
  <si>
    <t>Census of IBM 1620 Computers</t>
  </si>
  <si>
    <t>Installed</t>
  </si>
  <si>
    <t>On Order</t>
  </si>
  <si>
    <t>Total</t>
  </si>
  <si>
    <t>Note:  Data comes from "Monthly Computer Census" in Computers and Automation Magazine.</t>
  </si>
  <si>
    <t xml:space="preserve">           The data is from user surveys, not vendors, and combines IBM 1620 Models I &amp; II and IBM 1710.</t>
  </si>
  <si>
    <t xml:space="preserve">            Data not published every month.</t>
  </si>
  <si>
    <t xml:space="preserve">            Starting January 1968 the magazine estimated the number of installations &amp; orders combined.</t>
  </si>
  <si>
    <t xml:space="preserve">            The IBM 1620 Model 1 was announced in October 1959 &amp; started shipping in January 1960.</t>
  </si>
  <si>
    <t xml:space="preserve">            The IBM 1620 Model II was announced in xxx &amp; started shipping in yyy.</t>
  </si>
  <si>
    <t xml:space="preserve">            The IBM 1710 was announced in xxx &amp; started shipping in yyy.</t>
  </si>
  <si>
    <t xml:space="preserve">            All models of IBM 1620 and 1710 stopped being sold in November 1970.</t>
  </si>
  <si>
    <t>Graph</t>
  </si>
  <si>
    <t>A Third Survey of Domestic Electronic Digital Computing Systems</t>
  </si>
  <si>
    <t>Ballistic Research Laboratories</t>
  </si>
  <si>
    <t>Census of IBM 1620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</si>
</sst>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ptos Narrow"/>
      <scheme val="minor"/>
    </font>
    <font>
      <u/>
      <sz val="11"/>
      <color theme="1"/>
      <name val="Aptos Narrow"/>
      <family val="2"/>
      <scheme val="minor"/>
    </font>
    <font>
      <i/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0" borderId="10" xfId="0" applyFont="1" applyBorder="1" applyAlignment="1">
      <alignment horizontal="right"/>
    </xf>
    <xf numFmtId="0" fontId="18" fillId="0" borderId="10" xfId="0" applyFont="1" applyBorder="1"/>
    <xf numFmtId="164" fontId="19" fillId="0" borderId="0" xfId="0" applyNumberFormat="1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8" fillId="0" borderId="10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164" fontId="21" fillId="0" borderId="11" xfId="0" applyNumberFormat="1" applyFont="1" applyBorder="1" applyAlignment="1">
      <alignment horizontal="right"/>
    </xf>
    <xf numFmtId="0" fontId="21" fillId="0" borderId="11" xfId="0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19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11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1" u="sng"/>
              <a:t>Census</a:t>
            </a:r>
            <a:r>
              <a:rPr lang="en-US" sz="3200" b="1" u="sng" baseline="0"/>
              <a:t> of </a:t>
            </a:r>
            <a:r>
              <a:rPr lang="en-US" sz="3200" b="1" u="sng"/>
              <a:t>IBM 1620 Systems</a:t>
            </a:r>
          </a:p>
          <a:p>
            <a:pPr>
              <a:defRPr sz="3200" b="1" u="sng"/>
            </a:pPr>
            <a:r>
              <a:rPr lang="en-US" sz="2400" b="1" u="sng" baseline="0"/>
              <a:t>(Based on Industry Surveys)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'IBM 1620'!$E$3</c:f>
              <c:strCache>
                <c:ptCount val="1"/>
                <c:pt idx="0">
                  <c:v>Graph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'IBM 1620'!$A$4:$A$135</c:f>
              <c:numCache>
                <c:formatCode>mmmm\ yyyy</c:formatCode>
                <c:ptCount val="13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</c:numCache>
            </c:numRef>
          </c:cat>
          <c:val>
            <c:numRef>
              <c:f>'IBM 1620'!$E$4:$E$135</c:f>
              <c:numCache>
                <c:formatCode>0</c:formatCode>
                <c:ptCount val="132"/>
                <c:pt idx="0" formatCode="General">
                  <c:v>15</c:v>
                </c:pt>
                <c:pt idx="1">
                  <c:v>48.148148148148145</c:v>
                </c:pt>
                <c:pt idx="2">
                  <c:v>81.296296296296291</c:v>
                </c:pt>
                <c:pt idx="3">
                  <c:v>114.44444444444443</c:v>
                </c:pt>
                <c:pt idx="4">
                  <c:v>147.59259259259258</c:v>
                </c:pt>
                <c:pt idx="5">
                  <c:v>180.74074074074073</c:v>
                </c:pt>
                <c:pt idx="6">
                  <c:v>213.88888888888889</c:v>
                </c:pt>
                <c:pt idx="7">
                  <c:v>247.03703703703704</c:v>
                </c:pt>
                <c:pt idx="8">
                  <c:v>280.18518518518516</c:v>
                </c:pt>
                <c:pt idx="9">
                  <c:v>313.33333333333331</c:v>
                </c:pt>
                <c:pt idx="10">
                  <c:v>346.48148148148147</c:v>
                </c:pt>
                <c:pt idx="11">
                  <c:v>379.62962962962962</c:v>
                </c:pt>
                <c:pt idx="12">
                  <c:v>412.77777777777777</c:v>
                </c:pt>
                <c:pt idx="13">
                  <c:v>445.92592592592592</c:v>
                </c:pt>
                <c:pt idx="14">
                  <c:v>479.07407407407408</c:v>
                </c:pt>
                <c:pt idx="15">
                  <c:v>512.22222222222217</c:v>
                </c:pt>
                <c:pt idx="16">
                  <c:v>545.37037037037032</c:v>
                </c:pt>
                <c:pt idx="17">
                  <c:v>578.51851851851848</c:v>
                </c:pt>
                <c:pt idx="18">
                  <c:v>611.66666666666663</c:v>
                </c:pt>
                <c:pt idx="19">
                  <c:v>644.81481481481478</c:v>
                </c:pt>
                <c:pt idx="20">
                  <c:v>677.96296296296293</c:v>
                </c:pt>
                <c:pt idx="21">
                  <c:v>711.11111111111109</c:v>
                </c:pt>
                <c:pt idx="22">
                  <c:v>744.25925925925924</c:v>
                </c:pt>
                <c:pt idx="23">
                  <c:v>777.40740740740739</c:v>
                </c:pt>
                <c:pt idx="24">
                  <c:v>810.55555555555554</c:v>
                </c:pt>
                <c:pt idx="25">
                  <c:v>843.7037037037037</c:v>
                </c:pt>
                <c:pt idx="26">
                  <c:v>876.85185185185185</c:v>
                </c:pt>
                <c:pt idx="27" formatCode="General">
                  <c:v>910</c:v>
                </c:pt>
                <c:pt idx="28">
                  <c:v>1044.1666666666667</c:v>
                </c:pt>
                <c:pt idx="29">
                  <c:v>1178.3333333333335</c:v>
                </c:pt>
                <c:pt idx="30">
                  <c:v>1312.5000000000002</c:v>
                </c:pt>
                <c:pt idx="31">
                  <c:v>1446.666666666667</c:v>
                </c:pt>
                <c:pt idx="32">
                  <c:v>1580.8333333333337</c:v>
                </c:pt>
                <c:pt idx="33" formatCode="General">
                  <c:v>1715</c:v>
                </c:pt>
                <c:pt idx="34" formatCode="General">
                  <c:v>1760</c:v>
                </c:pt>
                <c:pt idx="35" formatCode="General">
                  <c:v>1650</c:v>
                </c:pt>
                <c:pt idx="36" formatCode="General">
                  <c:v>1670</c:v>
                </c:pt>
                <c:pt idx="37" formatCode="General">
                  <c:v>1670</c:v>
                </c:pt>
                <c:pt idx="38" formatCode="General">
                  <c:v>1600</c:v>
                </c:pt>
                <c:pt idx="39" formatCode="General">
                  <c:v>1600</c:v>
                </c:pt>
                <c:pt idx="40" formatCode="General">
                  <c:v>1660</c:v>
                </c:pt>
                <c:pt idx="41">
                  <c:v>1650</c:v>
                </c:pt>
                <c:pt idx="42" formatCode="General">
                  <c:v>1640</c:v>
                </c:pt>
                <c:pt idx="43" formatCode="General">
                  <c:v>1640</c:v>
                </c:pt>
                <c:pt idx="44" formatCode="General">
                  <c:v>1530</c:v>
                </c:pt>
                <c:pt idx="45" formatCode="General">
                  <c:v>1541</c:v>
                </c:pt>
                <c:pt idx="46" formatCode="General">
                  <c:v>1520</c:v>
                </c:pt>
                <c:pt idx="47" formatCode="General">
                  <c:v>1510</c:v>
                </c:pt>
                <c:pt idx="48" formatCode="General">
                  <c:v>1460</c:v>
                </c:pt>
                <c:pt idx="49" formatCode="General">
                  <c:v>1485</c:v>
                </c:pt>
                <c:pt idx="50" formatCode="General">
                  <c:v>1510</c:v>
                </c:pt>
                <c:pt idx="51" formatCode="General">
                  <c:v>1510</c:v>
                </c:pt>
                <c:pt idx="52" formatCode="General">
                  <c:v>1528</c:v>
                </c:pt>
                <c:pt idx="53" formatCode="General">
                  <c:v>1519</c:v>
                </c:pt>
                <c:pt idx="54" formatCode="General">
                  <c:v>1510</c:v>
                </c:pt>
                <c:pt idx="55" formatCode="General">
                  <c:v>1540</c:v>
                </c:pt>
                <c:pt idx="56" formatCode="General">
                  <c:v>1525</c:v>
                </c:pt>
                <c:pt idx="57" formatCode="General">
                  <c:v>1535</c:v>
                </c:pt>
                <c:pt idx="58" formatCode="General">
                  <c:v>1535</c:v>
                </c:pt>
                <c:pt idx="59" formatCode="General">
                  <c:v>1540</c:v>
                </c:pt>
                <c:pt idx="60" formatCode="General">
                  <c:v>1540</c:v>
                </c:pt>
                <c:pt idx="61" formatCode="General">
                  <c:v>1528</c:v>
                </c:pt>
                <c:pt idx="62" formatCode="General">
                  <c:v>1730</c:v>
                </c:pt>
                <c:pt idx="63" formatCode="General">
                  <c:v>1730</c:v>
                </c:pt>
                <c:pt idx="64" formatCode="General">
                  <c:v>1730</c:v>
                </c:pt>
                <c:pt idx="65" formatCode="General">
                  <c:v>1730</c:v>
                </c:pt>
                <c:pt idx="66" formatCode="General">
                  <c:v>1730</c:v>
                </c:pt>
                <c:pt idx="67" formatCode="General">
                  <c:v>1780</c:v>
                </c:pt>
                <c:pt idx="68" formatCode="General">
                  <c:v>1780</c:v>
                </c:pt>
                <c:pt idx="69" formatCode="General">
                  <c:v>1765</c:v>
                </c:pt>
                <c:pt idx="70" formatCode="General">
                  <c:v>1740</c:v>
                </c:pt>
                <c:pt idx="71" formatCode="General">
                  <c:v>1720</c:v>
                </c:pt>
                <c:pt idx="72" formatCode="General">
                  <c:v>1720</c:v>
                </c:pt>
                <c:pt idx="73" formatCode="General">
                  <c:v>1720</c:v>
                </c:pt>
                <c:pt idx="74" formatCode="General">
                  <c:v>1720</c:v>
                </c:pt>
                <c:pt idx="75" formatCode="General">
                  <c:v>1730</c:v>
                </c:pt>
                <c:pt idx="76" formatCode="General">
                  <c:v>1730</c:v>
                </c:pt>
                <c:pt idx="77" formatCode="General">
                  <c:v>1740</c:v>
                </c:pt>
                <c:pt idx="78" formatCode="General">
                  <c:v>1750</c:v>
                </c:pt>
                <c:pt idx="79" formatCode="General">
                  <c:v>1750</c:v>
                </c:pt>
                <c:pt idx="80" formatCode="General">
                  <c:v>1730</c:v>
                </c:pt>
                <c:pt idx="81" formatCode="General">
                  <c:v>1700</c:v>
                </c:pt>
                <c:pt idx="82" formatCode="General">
                  <c:v>1700</c:v>
                </c:pt>
                <c:pt idx="83" formatCode="General">
                  <c:v>1700</c:v>
                </c:pt>
                <c:pt idx="84" formatCode="General">
                  <c:v>1690</c:v>
                </c:pt>
                <c:pt idx="85" formatCode="General">
                  <c:v>1690</c:v>
                </c:pt>
                <c:pt idx="86" formatCode="General">
                  <c:v>1690</c:v>
                </c:pt>
                <c:pt idx="87" formatCode="General">
                  <c:v>1680</c:v>
                </c:pt>
                <c:pt idx="88" formatCode="General">
                  <c:v>1750</c:v>
                </c:pt>
                <c:pt idx="89" formatCode="General">
                  <c:v>1745</c:v>
                </c:pt>
                <c:pt idx="90" formatCode="General">
                  <c:v>1740</c:v>
                </c:pt>
                <c:pt idx="91" formatCode="General">
                  <c:v>1750</c:v>
                </c:pt>
                <c:pt idx="92" formatCode="General">
                  <c:v>1700</c:v>
                </c:pt>
                <c:pt idx="93" formatCode="General">
                  <c:v>1650</c:v>
                </c:pt>
                <c:pt idx="94" formatCode="General">
                  <c:v>1600</c:v>
                </c:pt>
                <c:pt idx="95" formatCode="General">
                  <c:v>1550</c:v>
                </c:pt>
                <c:pt idx="96" formatCode="General">
                  <c:v>1500</c:v>
                </c:pt>
                <c:pt idx="97" formatCode="General">
                  <c:v>1500</c:v>
                </c:pt>
                <c:pt idx="98" formatCode="General">
                  <c:v>1500</c:v>
                </c:pt>
                <c:pt idx="99" formatCode="General">
                  <c:v>1500</c:v>
                </c:pt>
                <c:pt idx="100" formatCode="General">
                  <c:v>1500</c:v>
                </c:pt>
                <c:pt idx="101" formatCode="General">
                  <c:v>1500</c:v>
                </c:pt>
                <c:pt idx="102" formatCode="General">
                  <c:v>1500</c:v>
                </c:pt>
                <c:pt idx="103" formatCode="General">
                  <c:v>1500</c:v>
                </c:pt>
                <c:pt idx="104" formatCode="General">
                  <c:v>1500</c:v>
                </c:pt>
                <c:pt idx="105" formatCode="General">
                  <c:v>1500</c:v>
                </c:pt>
                <c:pt idx="106" formatCode="General">
                  <c:v>1500</c:v>
                </c:pt>
                <c:pt idx="107" formatCode="General">
                  <c:v>1500</c:v>
                </c:pt>
                <c:pt idx="108" formatCode="General">
                  <c:v>1500</c:v>
                </c:pt>
                <c:pt idx="109" formatCode="General">
                  <c:v>471</c:v>
                </c:pt>
                <c:pt idx="110" formatCode="General">
                  <c:v>471</c:v>
                </c:pt>
                <c:pt idx="111" formatCode="General">
                  <c:v>471</c:v>
                </c:pt>
                <c:pt idx="112" formatCode="General">
                  <c:v>471</c:v>
                </c:pt>
                <c:pt idx="113" formatCode="General">
                  <c:v>471</c:v>
                </c:pt>
                <c:pt idx="114" formatCode="General">
                  <c:v>471</c:v>
                </c:pt>
                <c:pt idx="115" formatCode="General">
                  <c:v>471</c:v>
                </c:pt>
                <c:pt idx="116" formatCode="General">
                  <c:v>471</c:v>
                </c:pt>
                <c:pt idx="117" formatCode="General">
                  <c:v>471</c:v>
                </c:pt>
                <c:pt idx="118" formatCode="General">
                  <c:v>471</c:v>
                </c:pt>
                <c:pt idx="119" formatCode="General">
                  <c:v>471</c:v>
                </c:pt>
                <c:pt idx="120" formatCode="General">
                  <c:v>471</c:v>
                </c:pt>
                <c:pt idx="121" formatCode="General">
                  <c:v>471</c:v>
                </c:pt>
                <c:pt idx="122" formatCode="General">
                  <c:v>471</c:v>
                </c:pt>
                <c:pt idx="123" formatCode="General">
                  <c:v>471</c:v>
                </c:pt>
                <c:pt idx="124" formatCode="General">
                  <c:v>471</c:v>
                </c:pt>
                <c:pt idx="125" formatCode="General">
                  <c:v>471</c:v>
                </c:pt>
                <c:pt idx="126" formatCode="General">
                  <c:v>471</c:v>
                </c:pt>
                <c:pt idx="127" formatCode="General">
                  <c:v>471</c:v>
                </c:pt>
                <c:pt idx="128" formatCode="General">
                  <c:v>471</c:v>
                </c:pt>
                <c:pt idx="129" formatCode="General">
                  <c:v>471</c:v>
                </c:pt>
                <c:pt idx="130" formatCode="General">
                  <c:v>471</c:v>
                </c:pt>
                <c:pt idx="131" formatCode="General">
                  <c:v>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4CA2-96E2-1E8ED3088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6871887"/>
        <c:axId val="1536864207"/>
      </c:lineChart>
      <c:dateAx>
        <c:axId val="1536871887"/>
        <c:scaling>
          <c:orientation val="minMax"/>
        </c:scaling>
        <c:delete val="0"/>
        <c:axPos val="b"/>
        <c:numFmt formatCode="m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64207"/>
        <c:crosses val="autoZero"/>
        <c:auto val="1"/>
        <c:lblOffset val="100"/>
        <c:baseTimeUnit val="months"/>
      </c:dateAx>
      <c:valAx>
        <c:axId val="153686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71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2219325</xdr:colOff>
          <xdr:row>0</xdr:row>
          <xdr:rowOff>66675</xdr:rowOff>
        </xdr:from>
        <xdr:to>
          <xdr:col>2</xdr:col>
          <xdr:colOff>552450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HTML</a:t>
              </a:r>
            </a:p>
            <a:p>
              <a:pPr algn="ctr" rtl="0">
                <a:defRPr sz="1000"/>
              </a:pPr>
              <a:endParaRPr lang="en-US" sz="1100" b="0" i="1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22</xdr:col>
      <xdr:colOff>9525</xdr:colOff>
      <xdr:row>47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229E96-129D-409C-BADA-9765F9DD9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7608C-5A89-4F55-99EA-E90678905B69}">
  <sheetPr codeName="Sheet1"/>
  <dimension ref="A1:C102"/>
  <sheetViews>
    <sheetView tabSelected="1" workbookViewId="0">
      <selection sqref="A1:C1"/>
    </sheetView>
  </sheetViews>
  <sheetFormatPr defaultRowHeight="14.25"/>
  <cols>
    <col min="1" max="1" width="60.25" customWidth="1"/>
    <col min="2" max="2" width="36.625" customWidth="1"/>
    <col min="3" max="3" width="18.625" customWidth="1"/>
  </cols>
  <sheetData>
    <row r="1" spans="1:3" ht="26.25">
      <c r="A1" s="19" t="s">
        <v>25</v>
      </c>
      <c r="B1" s="19"/>
      <c r="C1" s="19"/>
    </row>
    <row r="3" spans="1:3" ht="18.75" thickBot="1">
      <c r="A3" s="2" t="s">
        <v>8</v>
      </c>
      <c r="B3" s="2" t="s">
        <v>9</v>
      </c>
      <c r="C3" s="1" t="s">
        <v>7</v>
      </c>
    </row>
    <row r="4" spans="1:3" ht="15">
      <c r="A4" s="4" t="s">
        <v>2</v>
      </c>
      <c r="B4" s="4" t="s">
        <v>1</v>
      </c>
      <c r="C4" s="3">
        <v>22098</v>
      </c>
    </row>
    <row r="5" spans="1:3" ht="15">
      <c r="A5" s="4" t="s">
        <v>23</v>
      </c>
      <c r="B5" s="4" t="s">
        <v>24</v>
      </c>
      <c r="C5" s="3">
        <v>22341</v>
      </c>
    </row>
    <row r="6" spans="1:3" ht="15">
      <c r="A6" s="4" t="s">
        <v>3</v>
      </c>
      <c r="B6" s="4" t="s">
        <v>1</v>
      </c>
      <c r="C6" s="3">
        <v>22737</v>
      </c>
    </row>
    <row r="7" spans="1:3" ht="15">
      <c r="A7" s="4" t="s">
        <v>5</v>
      </c>
      <c r="B7" s="4" t="s">
        <v>1</v>
      </c>
      <c r="C7" s="3">
        <v>22920</v>
      </c>
    </row>
    <row r="8" spans="1:3" ht="15">
      <c r="A8" s="4" t="s">
        <v>5</v>
      </c>
      <c r="B8" s="4" t="s">
        <v>1</v>
      </c>
      <c r="C8" s="3">
        <v>22951</v>
      </c>
    </row>
    <row r="9" spans="1:3" ht="15">
      <c r="A9" s="4" t="s">
        <v>5</v>
      </c>
      <c r="B9" s="4" t="s">
        <v>1</v>
      </c>
      <c r="C9" s="3">
        <v>22981</v>
      </c>
    </row>
    <row r="10" spans="1:3" ht="15">
      <c r="A10" s="4" t="s">
        <v>5</v>
      </c>
      <c r="B10" s="4" t="s">
        <v>1</v>
      </c>
      <c r="C10" s="3">
        <v>23012</v>
      </c>
    </row>
    <row r="11" spans="1:3" ht="15">
      <c r="A11" s="4" t="s">
        <v>5</v>
      </c>
      <c r="B11" s="4" t="s">
        <v>1</v>
      </c>
      <c r="C11" s="3">
        <v>23043</v>
      </c>
    </row>
    <row r="12" spans="1:3" ht="15">
      <c r="A12" s="4" t="s">
        <v>5</v>
      </c>
      <c r="B12" s="4" t="s">
        <v>1</v>
      </c>
      <c r="C12" s="3">
        <v>23071</v>
      </c>
    </row>
    <row r="13" spans="1:3" ht="15">
      <c r="A13" s="4" t="s">
        <v>5</v>
      </c>
      <c r="B13" s="4" t="s">
        <v>1</v>
      </c>
      <c r="C13" s="3">
        <v>23102</v>
      </c>
    </row>
    <row r="14" spans="1:3" ht="15">
      <c r="A14" s="4" t="s">
        <v>5</v>
      </c>
      <c r="B14" s="4" t="s">
        <v>1</v>
      </c>
      <c r="C14" s="3">
        <v>23132</v>
      </c>
    </row>
    <row r="15" spans="1:3" ht="15">
      <c r="A15" s="4" t="s">
        <v>5</v>
      </c>
      <c r="B15" s="4" t="s">
        <v>1</v>
      </c>
      <c r="C15" s="3">
        <v>23193</v>
      </c>
    </row>
    <row r="16" spans="1:3" ht="15">
      <c r="A16" s="4" t="s">
        <v>5</v>
      </c>
      <c r="B16" s="4" t="s">
        <v>1</v>
      </c>
      <c r="C16" s="3">
        <v>23224</v>
      </c>
    </row>
    <row r="17" spans="1:3" ht="15">
      <c r="A17" s="4" t="s">
        <v>5</v>
      </c>
      <c r="B17" s="4" t="s">
        <v>1</v>
      </c>
      <c r="C17" s="3">
        <v>23255</v>
      </c>
    </row>
    <row r="18" spans="1:3" ht="15">
      <c r="A18" s="4" t="s">
        <v>5</v>
      </c>
      <c r="B18" s="4" t="s">
        <v>1</v>
      </c>
      <c r="C18" s="3">
        <v>23285</v>
      </c>
    </row>
    <row r="19" spans="1:3" ht="15">
      <c r="A19" s="4" t="s">
        <v>5</v>
      </c>
      <c r="B19" s="4" t="s">
        <v>1</v>
      </c>
      <c r="C19" s="3">
        <v>23316</v>
      </c>
    </row>
    <row r="20" spans="1:3" ht="15">
      <c r="A20" s="4" t="s">
        <v>5</v>
      </c>
      <c r="B20" s="4" t="s">
        <v>1</v>
      </c>
      <c r="C20" s="3">
        <v>23346</v>
      </c>
    </row>
    <row r="21" spans="1:3" ht="15">
      <c r="A21" s="4" t="s">
        <v>5</v>
      </c>
      <c r="B21" s="4" t="s">
        <v>1</v>
      </c>
      <c r="C21" s="3">
        <v>23377</v>
      </c>
    </row>
    <row r="22" spans="1:3" ht="15">
      <c r="A22" s="4" t="s">
        <v>5</v>
      </c>
      <c r="B22" s="4" t="s">
        <v>1</v>
      </c>
      <c r="C22" s="3">
        <v>23437</v>
      </c>
    </row>
    <row r="23" spans="1:3" ht="15">
      <c r="A23" s="4" t="s">
        <v>5</v>
      </c>
      <c r="B23" s="4" t="s">
        <v>1</v>
      </c>
      <c r="C23" s="3">
        <v>23468</v>
      </c>
    </row>
    <row r="24" spans="1:3" ht="15">
      <c r="A24" s="4" t="s">
        <v>5</v>
      </c>
      <c r="B24" s="4" t="s">
        <v>1</v>
      </c>
      <c r="C24" s="3">
        <v>23498</v>
      </c>
    </row>
    <row r="25" spans="1:3" ht="15">
      <c r="A25" s="4" t="s">
        <v>5</v>
      </c>
      <c r="B25" s="4" t="s">
        <v>1</v>
      </c>
      <c r="C25" s="3">
        <v>23559</v>
      </c>
    </row>
    <row r="26" spans="1:3" ht="15">
      <c r="A26" s="4" t="s">
        <v>5</v>
      </c>
      <c r="B26" s="4" t="s">
        <v>1</v>
      </c>
      <c r="C26" s="3">
        <v>23590</v>
      </c>
    </row>
    <row r="27" spans="1:3" ht="15">
      <c r="A27" s="4" t="s">
        <v>5</v>
      </c>
      <c r="B27" s="4" t="s">
        <v>1</v>
      </c>
      <c r="C27" s="3">
        <v>23621</v>
      </c>
    </row>
    <row r="28" spans="1:3" ht="15">
      <c r="A28" s="4" t="s">
        <v>5</v>
      </c>
      <c r="B28" s="4" t="s">
        <v>1</v>
      </c>
      <c r="C28" s="3">
        <v>23651</v>
      </c>
    </row>
    <row r="29" spans="1:3" ht="15">
      <c r="A29" s="4" t="s">
        <v>5</v>
      </c>
      <c r="B29" s="4" t="s">
        <v>1</v>
      </c>
      <c r="C29" s="3">
        <v>23682</v>
      </c>
    </row>
    <row r="30" spans="1:3" ht="15">
      <c r="A30" s="4" t="s">
        <v>5</v>
      </c>
      <c r="B30" s="4" t="s">
        <v>1</v>
      </c>
      <c r="C30" s="3">
        <v>23712</v>
      </c>
    </row>
    <row r="31" spans="1:3" ht="15">
      <c r="A31" s="4" t="s">
        <v>5</v>
      </c>
      <c r="B31" s="4" t="s">
        <v>1</v>
      </c>
      <c r="C31" s="3">
        <v>23743</v>
      </c>
    </row>
    <row r="32" spans="1:3" ht="15">
      <c r="A32" s="4" t="s">
        <v>5</v>
      </c>
      <c r="B32" s="4" t="s">
        <v>1</v>
      </c>
      <c r="C32" s="3">
        <v>23774</v>
      </c>
    </row>
    <row r="33" spans="1:3" ht="15">
      <c r="A33" s="4" t="s">
        <v>5</v>
      </c>
      <c r="B33" s="4" t="s">
        <v>1</v>
      </c>
      <c r="C33" s="3">
        <v>23802</v>
      </c>
    </row>
    <row r="34" spans="1:3" ht="15">
      <c r="A34" s="4" t="s">
        <v>5</v>
      </c>
      <c r="B34" s="4" t="s">
        <v>1</v>
      </c>
      <c r="C34" s="3">
        <v>23833</v>
      </c>
    </row>
    <row r="35" spans="1:3" ht="15">
      <c r="A35" s="4" t="s">
        <v>5</v>
      </c>
      <c r="B35" s="4" t="s">
        <v>1</v>
      </c>
      <c r="C35" s="3">
        <v>23863</v>
      </c>
    </row>
    <row r="36" spans="1:3" ht="15">
      <c r="A36" s="4" t="s">
        <v>5</v>
      </c>
      <c r="B36" s="4" t="s">
        <v>1</v>
      </c>
      <c r="C36" s="3">
        <v>23924</v>
      </c>
    </row>
    <row r="37" spans="1:3" ht="15">
      <c r="A37" s="4" t="s">
        <v>5</v>
      </c>
      <c r="B37" s="4" t="s">
        <v>1</v>
      </c>
      <c r="C37" s="3">
        <v>23955</v>
      </c>
    </row>
    <row r="38" spans="1:3" ht="15">
      <c r="A38" s="4" t="s">
        <v>5</v>
      </c>
      <c r="B38" s="4" t="s">
        <v>1</v>
      </c>
      <c r="C38" s="3">
        <v>23986</v>
      </c>
    </row>
    <row r="39" spans="1:3" ht="15">
      <c r="A39" s="4" t="s">
        <v>5</v>
      </c>
      <c r="B39" s="4" t="s">
        <v>1</v>
      </c>
      <c r="C39" s="3">
        <v>24016</v>
      </c>
    </row>
    <row r="40" spans="1:3" ht="15">
      <c r="A40" s="4" t="s">
        <v>4</v>
      </c>
      <c r="B40" s="4" t="s">
        <v>1</v>
      </c>
      <c r="C40" s="3">
        <v>24047</v>
      </c>
    </row>
    <row r="41" spans="1:3" ht="15">
      <c r="A41" s="4" t="s">
        <v>5</v>
      </c>
      <c r="B41" s="4" t="s">
        <v>1</v>
      </c>
      <c r="C41" s="3">
        <v>24077</v>
      </c>
    </row>
    <row r="42" spans="1:3" ht="15">
      <c r="A42" s="4" t="s">
        <v>5</v>
      </c>
      <c r="B42" s="4" t="s">
        <v>1</v>
      </c>
      <c r="C42" s="3">
        <v>24108</v>
      </c>
    </row>
    <row r="43" spans="1:3" ht="15">
      <c r="A43" s="4" t="s">
        <v>5</v>
      </c>
      <c r="B43" s="4" t="s">
        <v>1</v>
      </c>
      <c r="C43" s="3">
        <v>24139</v>
      </c>
    </row>
    <row r="44" spans="1:3" ht="15">
      <c r="A44" s="4" t="s">
        <v>5</v>
      </c>
      <c r="B44" s="4" t="s">
        <v>1</v>
      </c>
      <c r="C44" s="3">
        <v>24167</v>
      </c>
    </row>
    <row r="45" spans="1:3" ht="15">
      <c r="A45" s="4" t="s">
        <v>5</v>
      </c>
      <c r="B45" s="4" t="s">
        <v>1</v>
      </c>
      <c r="C45" s="3">
        <v>24198</v>
      </c>
    </row>
    <row r="46" spans="1:3" ht="15">
      <c r="A46" s="4" t="s">
        <v>5</v>
      </c>
      <c r="B46" s="4" t="s">
        <v>1</v>
      </c>
      <c r="C46" s="3">
        <v>24228</v>
      </c>
    </row>
    <row r="47" spans="1:3" ht="15">
      <c r="A47" s="4" t="s">
        <v>5</v>
      </c>
      <c r="B47" s="4" t="s">
        <v>1</v>
      </c>
      <c r="C47" s="3">
        <v>24289</v>
      </c>
    </row>
    <row r="48" spans="1:3" ht="15">
      <c r="A48" s="4" t="s">
        <v>5</v>
      </c>
      <c r="B48" s="4" t="s">
        <v>1</v>
      </c>
      <c r="C48" s="3">
        <v>24320</v>
      </c>
    </row>
    <row r="49" spans="1:3" ht="15">
      <c r="A49" s="4" t="s">
        <v>5</v>
      </c>
      <c r="B49" s="4" t="s">
        <v>1</v>
      </c>
      <c r="C49" s="3">
        <v>24351</v>
      </c>
    </row>
    <row r="50" spans="1:3" ht="15">
      <c r="A50" s="4" t="s">
        <v>5</v>
      </c>
      <c r="B50" s="4" t="s">
        <v>1</v>
      </c>
      <c r="C50" s="3">
        <v>24381</v>
      </c>
    </row>
    <row r="51" spans="1:3" ht="15">
      <c r="A51" s="4" t="s">
        <v>5</v>
      </c>
      <c r="B51" s="4" t="s">
        <v>1</v>
      </c>
      <c r="C51" s="3">
        <v>24412</v>
      </c>
    </row>
    <row r="52" spans="1:3" ht="15">
      <c r="A52" s="4" t="s">
        <v>5</v>
      </c>
      <c r="B52" s="4" t="s">
        <v>1</v>
      </c>
      <c r="C52" s="3">
        <v>24442</v>
      </c>
    </row>
    <row r="53" spans="1:3" ht="15">
      <c r="A53" s="4" t="s">
        <v>5</v>
      </c>
      <c r="B53" s="4" t="s">
        <v>1</v>
      </c>
      <c r="C53" s="3">
        <v>24473</v>
      </c>
    </row>
    <row r="54" spans="1:3" ht="15">
      <c r="A54" s="4" t="s">
        <v>5</v>
      </c>
      <c r="B54" s="4" t="s">
        <v>1</v>
      </c>
      <c r="C54" s="3">
        <v>24504</v>
      </c>
    </row>
    <row r="55" spans="1:3" ht="15">
      <c r="A55" s="4" t="s">
        <v>5</v>
      </c>
      <c r="B55" s="4" t="s">
        <v>1</v>
      </c>
      <c r="C55" s="3">
        <v>24532</v>
      </c>
    </row>
    <row r="56" spans="1:3" ht="15">
      <c r="A56" s="4" t="s">
        <v>5</v>
      </c>
      <c r="B56" s="4" t="s">
        <v>1</v>
      </c>
      <c r="C56" s="3">
        <v>24563</v>
      </c>
    </row>
    <row r="57" spans="1:3" ht="15">
      <c r="A57" s="4" t="s">
        <v>5</v>
      </c>
      <c r="B57" s="4" t="s">
        <v>1</v>
      </c>
      <c r="C57" s="3">
        <v>24593</v>
      </c>
    </row>
    <row r="58" spans="1:3" ht="15">
      <c r="A58" s="4" t="s">
        <v>5</v>
      </c>
      <c r="B58" s="4" t="s">
        <v>1</v>
      </c>
      <c r="C58" s="3">
        <v>24654</v>
      </c>
    </row>
    <row r="59" spans="1:3" ht="15">
      <c r="A59" s="4" t="s">
        <v>5</v>
      </c>
      <c r="B59" s="4" t="s">
        <v>1</v>
      </c>
      <c r="C59" s="3">
        <v>24685</v>
      </c>
    </row>
    <row r="60" spans="1:3" ht="15">
      <c r="A60" s="4" t="s">
        <v>5</v>
      </c>
      <c r="B60" s="4" t="s">
        <v>1</v>
      </c>
      <c r="C60" s="3">
        <v>24777</v>
      </c>
    </row>
    <row r="61" spans="1:3" ht="15">
      <c r="A61" s="4" t="s">
        <v>5</v>
      </c>
      <c r="B61" s="4" t="s">
        <v>1</v>
      </c>
      <c r="C61" s="3">
        <v>24807</v>
      </c>
    </row>
    <row r="62" spans="1:3" ht="15">
      <c r="A62" s="4" t="s">
        <v>5</v>
      </c>
      <c r="B62" s="4" t="s">
        <v>1</v>
      </c>
      <c r="C62" s="3">
        <v>24838</v>
      </c>
    </row>
    <row r="63" spans="1:3" ht="15">
      <c r="A63" s="4" t="s">
        <v>5</v>
      </c>
      <c r="B63" s="4" t="s">
        <v>1</v>
      </c>
      <c r="C63" s="3">
        <v>24869</v>
      </c>
    </row>
    <row r="64" spans="1:3" ht="15">
      <c r="A64" s="4" t="s">
        <v>5</v>
      </c>
      <c r="B64" s="4" t="s">
        <v>1</v>
      </c>
      <c r="C64" s="3">
        <v>24898</v>
      </c>
    </row>
    <row r="65" spans="1:3" ht="15">
      <c r="A65" s="4" t="s">
        <v>5</v>
      </c>
      <c r="B65" s="4" t="s">
        <v>1</v>
      </c>
      <c r="C65" s="3">
        <v>24929</v>
      </c>
    </row>
    <row r="66" spans="1:3" ht="15">
      <c r="A66" s="4" t="s">
        <v>5</v>
      </c>
      <c r="B66" s="4" t="s">
        <v>1</v>
      </c>
      <c r="C66" s="3">
        <v>24959</v>
      </c>
    </row>
    <row r="67" spans="1:3" ht="15">
      <c r="A67" s="4" t="s">
        <v>6</v>
      </c>
      <c r="B67" s="4" t="s">
        <v>1</v>
      </c>
      <c r="C67" s="3">
        <v>24990</v>
      </c>
    </row>
    <row r="68" spans="1:3" ht="15">
      <c r="A68" s="4" t="s">
        <v>5</v>
      </c>
      <c r="B68" s="4" t="s">
        <v>1</v>
      </c>
      <c r="C68" s="3">
        <v>25020</v>
      </c>
    </row>
    <row r="69" spans="1:3" ht="15">
      <c r="A69" s="4" t="s">
        <v>5</v>
      </c>
      <c r="B69" s="4" t="s">
        <v>1</v>
      </c>
      <c r="C69" s="3">
        <v>25051</v>
      </c>
    </row>
    <row r="70" spans="1:3" ht="15">
      <c r="A70" s="4" t="s">
        <v>5</v>
      </c>
      <c r="B70" s="4" t="s">
        <v>1</v>
      </c>
      <c r="C70" s="3">
        <v>25082</v>
      </c>
    </row>
    <row r="71" spans="1:3" ht="15">
      <c r="A71" s="4" t="s">
        <v>5</v>
      </c>
      <c r="B71" s="4" t="s">
        <v>1</v>
      </c>
      <c r="C71" s="3">
        <v>25112</v>
      </c>
    </row>
    <row r="72" spans="1:3" ht="15">
      <c r="A72" s="4" t="s">
        <v>5</v>
      </c>
      <c r="B72" s="4" t="s">
        <v>1</v>
      </c>
      <c r="C72" s="3">
        <v>25143</v>
      </c>
    </row>
    <row r="73" spans="1:3" ht="15">
      <c r="A73" s="4" t="s">
        <v>5</v>
      </c>
      <c r="B73" s="4" t="s">
        <v>1</v>
      </c>
      <c r="C73" s="3">
        <v>25173</v>
      </c>
    </row>
    <row r="74" spans="1:3" ht="15">
      <c r="A74" s="4" t="s">
        <v>5</v>
      </c>
      <c r="B74" s="4" t="s">
        <v>1</v>
      </c>
      <c r="C74" s="3">
        <v>25204</v>
      </c>
    </row>
    <row r="75" spans="1:3" ht="15">
      <c r="A75" s="4" t="s">
        <v>0</v>
      </c>
      <c r="B75" s="4" t="s">
        <v>1</v>
      </c>
      <c r="C75" s="3">
        <v>25235</v>
      </c>
    </row>
    <row r="76" spans="1:3" ht="15">
      <c r="A76" s="4" t="s">
        <v>0</v>
      </c>
      <c r="B76" s="4" t="s">
        <v>1</v>
      </c>
      <c r="C76" s="3">
        <v>25324</v>
      </c>
    </row>
    <row r="77" spans="1:3" ht="15">
      <c r="A77" s="4" t="s">
        <v>5</v>
      </c>
      <c r="B77" s="4" t="s">
        <v>1</v>
      </c>
      <c r="C77" s="3">
        <v>25447</v>
      </c>
    </row>
    <row r="78" spans="1:3" ht="15">
      <c r="A78" s="4" t="s">
        <v>5</v>
      </c>
      <c r="B78" s="4" t="s">
        <v>1</v>
      </c>
      <c r="C78" s="3">
        <v>25508</v>
      </c>
    </row>
    <row r="79" spans="1:3" ht="15">
      <c r="A79" s="4" t="s">
        <v>5</v>
      </c>
      <c r="B79" s="4" t="s">
        <v>1</v>
      </c>
      <c r="C79" s="3">
        <v>25569</v>
      </c>
    </row>
    <row r="80" spans="1:3" ht="15">
      <c r="A80" s="4" t="s">
        <v>5</v>
      </c>
      <c r="B80" s="4" t="s">
        <v>1</v>
      </c>
      <c r="C80" s="3">
        <v>25628</v>
      </c>
    </row>
    <row r="81" spans="1:3" ht="15">
      <c r="A81" s="4" t="s">
        <v>5</v>
      </c>
      <c r="B81" s="4" t="s">
        <v>1</v>
      </c>
      <c r="C81" s="3">
        <v>25689</v>
      </c>
    </row>
    <row r="82" spans="1:3" ht="15">
      <c r="A82" s="4" t="s">
        <v>5</v>
      </c>
      <c r="B82" s="4" t="s">
        <v>1</v>
      </c>
      <c r="C82" s="3">
        <v>25750</v>
      </c>
    </row>
    <row r="83" spans="1:3" ht="15">
      <c r="A83" s="4" t="s">
        <v>5</v>
      </c>
      <c r="B83" s="4" t="s">
        <v>1</v>
      </c>
      <c r="C83" s="3">
        <v>25812</v>
      </c>
    </row>
    <row r="84" spans="1:3" ht="15">
      <c r="A84" s="4" t="s">
        <v>5</v>
      </c>
      <c r="B84" s="4" t="s">
        <v>1</v>
      </c>
      <c r="C84" s="3">
        <v>25873</v>
      </c>
    </row>
    <row r="85" spans="1:3" ht="15">
      <c r="A85" s="4" t="s">
        <v>5</v>
      </c>
      <c r="B85" s="4" t="s">
        <v>1</v>
      </c>
      <c r="C85" s="3">
        <v>25934</v>
      </c>
    </row>
    <row r="86" spans="1:3" ht="15">
      <c r="A86" s="4" t="s">
        <v>5</v>
      </c>
      <c r="B86" s="4" t="s">
        <v>1</v>
      </c>
      <c r="C86" s="3">
        <v>25993</v>
      </c>
    </row>
    <row r="87" spans="1:3" ht="15">
      <c r="A87" s="4" t="s">
        <v>5</v>
      </c>
      <c r="B87" s="4" t="s">
        <v>1</v>
      </c>
      <c r="C87" s="3">
        <v>26054</v>
      </c>
    </row>
    <row r="88" spans="1:3" ht="15">
      <c r="A88" s="4" t="s">
        <v>5</v>
      </c>
      <c r="B88" s="4" t="s">
        <v>1</v>
      </c>
      <c r="C88" s="3">
        <v>26115</v>
      </c>
    </row>
    <row r="89" spans="1:3" ht="15">
      <c r="A89" s="4" t="s">
        <v>5</v>
      </c>
      <c r="B89" s="4" t="s">
        <v>1</v>
      </c>
      <c r="C89" s="3">
        <v>26177</v>
      </c>
    </row>
    <row r="90" spans="1:3" ht="15">
      <c r="A90" s="4" t="s">
        <v>5</v>
      </c>
      <c r="B90" s="4" t="s">
        <v>1</v>
      </c>
      <c r="C90" s="3">
        <v>26238</v>
      </c>
    </row>
    <row r="91" spans="1:3" ht="15">
      <c r="A91" s="4" t="s">
        <v>5</v>
      </c>
      <c r="B91" s="4" t="s">
        <v>1</v>
      </c>
      <c r="C91" s="3">
        <v>26299</v>
      </c>
    </row>
    <row r="92" spans="1:3" ht="15">
      <c r="A92" s="4" t="s">
        <v>5</v>
      </c>
      <c r="B92" s="4" t="s">
        <v>1</v>
      </c>
      <c r="C92" s="3">
        <v>26359</v>
      </c>
    </row>
    <row r="93" spans="1:3" ht="15">
      <c r="A93" s="4" t="s">
        <v>5</v>
      </c>
      <c r="B93" s="4" t="s">
        <v>1</v>
      </c>
      <c r="C93" s="3">
        <v>26420</v>
      </c>
    </row>
    <row r="94" spans="1:3" ht="15">
      <c r="A94" s="4" t="s">
        <v>5</v>
      </c>
      <c r="B94" s="4" t="s">
        <v>1</v>
      </c>
      <c r="C94" s="3">
        <v>26481</v>
      </c>
    </row>
    <row r="95" spans="1:3" ht="15">
      <c r="A95" s="4" t="s">
        <v>5</v>
      </c>
      <c r="B95" s="4" t="s">
        <v>1</v>
      </c>
      <c r="C95" s="3">
        <v>26604</v>
      </c>
    </row>
    <row r="96" spans="1:3" ht="15">
      <c r="A96" s="4" t="s">
        <v>5</v>
      </c>
      <c r="B96" s="4" t="s">
        <v>1</v>
      </c>
      <c r="C96" s="3">
        <v>26665</v>
      </c>
    </row>
    <row r="97" spans="1:3" ht="15">
      <c r="A97" s="4" t="s">
        <v>5</v>
      </c>
      <c r="B97" s="4" t="s">
        <v>1</v>
      </c>
      <c r="C97" s="3">
        <v>26724</v>
      </c>
    </row>
    <row r="98" spans="1:3" ht="15">
      <c r="A98" s="4" t="s">
        <v>5</v>
      </c>
      <c r="B98" s="4" t="s">
        <v>1</v>
      </c>
      <c r="C98" s="3">
        <v>26785</v>
      </c>
    </row>
    <row r="99" spans="1:3" ht="15">
      <c r="A99" s="4" t="s">
        <v>5</v>
      </c>
      <c r="B99" s="4" t="s">
        <v>1</v>
      </c>
      <c r="C99" s="3">
        <v>26877</v>
      </c>
    </row>
    <row r="100" spans="1:3" ht="15">
      <c r="A100" s="4" t="s">
        <v>5</v>
      </c>
      <c r="B100" s="4" t="s">
        <v>1</v>
      </c>
      <c r="C100" s="3">
        <v>26969</v>
      </c>
    </row>
    <row r="101" spans="1:3" ht="15">
      <c r="A101" s="4" t="s">
        <v>5</v>
      </c>
      <c r="B101" s="4" t="s">
        <v>1</v>
      </c>
      <c r="C101" s="3">
        <v>27061</v>
      </c>
    </row>
    <row r="102" spans="1:3" ht="15">
      <c r="A102" s="4" t="s">
        <v>5</v>
      </c>
      <c r="B102" s="4" t="s">
        <v>1</v>
      </c>
      <c r="C102" s="3">
        <v>27150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HTML">
                <anchor moveWithCells="1" sizeWithCells="1">
                  <from>
                    <xdr:col>1</xdr:col>
                    <xdr:colOff>2219325</xdr:colOff>
                    <xdr:row>0</xdr:row>
                    <xdr:rowOff>66675</xdr:rowOff>
                  </from>
                  <to>
                    <xdr:col>2</xdr:col>
                    <xdr:colOff>552450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4968-A18D-445F-AFB0-AC55AE603138}">
  <sheetPr codeName="Sheet2"/>
  <dimension ref="A1:F145"/>
  <sheetViews>
    <sheetView topLeftCell="A3" workbookViewId="0">
      <selection activeCell="A3" sqref="A3"/>
    </sheetView>
  </sheetViews>
  <sheetFormatPr defaultRowHeight="14.25"/>
  <cols>
    <col min="1" max="1" width="16.625" customWidth="1"/>
    <col min="2" max="4" width="12.625" customWidth="1"/>
    <col min="5" max="5" width="9" style="5"/>
  </cols>
  <sheetData>
    <row r="1" spans="1:6" ht="26.25">
      <c r="A1" s="19" t="s">
        <v>10</v>
      </c>
      <c r="B1" s="20"/>
      <c r="C1" s="20"/>
      <c r="D1" s="20"/>
    </row>
    <row r="2" spans="1:6">
      <c r="A2" s="6"/>
      <c r="B2" s="5"/>
      <c r="C2" s="5"/>
      <c r="D2" s="5"/>
    </row>
    <row r="3" spans="1:6" ht="18.75" thickBot="1">
      <c r="A3" s="1" t="s">
        <v>7</v>
      </c>
      <c r="B3" s="7" t="s">
        <v>11</v>
      </c>
      <c r="C3" s="7" t="s">
        <v>12</v>
      </c>
      <c r="D3" s="7" t="s">
        <v>13</v>
      </c>
      <c r="E3" s="7" t="s">
        <v>22</v>
      </c>
    </row>
    <row r="4" spans="1:6" ht="15">
      <c r="A4" s="8">
        <v>21916</v>
      </c>
      <c r="B4" s="5">
        <v>0</v>
      </c>
      <c r="C4" s="5">
        <v>15</v>
      </c>
      <c r="D4" s="5">
        <f t="shared" ref="D4" si="0">IF(B4+C4&gt;0,B4+C4,"")</f>
        <v>15</v>
      </c>
      <c r="E4" s="5">
        <f>D4</f>
        <v>15</v>
      </c>
    </row>
    <row r="5" spans="1:6">
      <c r="A5" s="9">
        <v>21947</v>
      </c>
      <c r="B5" s="5"/>
      <c r="C5" s="5"/>
      <c r="D5" s="5" t="str">
        <f>IF(B5+C5&gt;0,B5+C5,"")</f>
        <v/>
      </c>
      <c r="E5" s="17">
        <f>E4+$F$5</f>
        <v>48.148148148148145</v>
      </c>
      <c r="F5">
        <f>(D31-D4)/27</f>
        <v>33.148148148148145</v>
      </c>
    </row>
    <row r="6" spans="1:6">
      <c r="A6" s="9">
        <v>21976</v>
      </c>
      <c r="B6" s="5"/>
      <c r="C6" s="5"/>
      <c r="D6" s="5" t="str">
        <f t="shared" ref="D6:D69" si="1">IF(B6+C6&gt;0,B6+C6,"")</f>
        <v/>
      </c>
      <c r="E6" s="17">
        <f t="shared" ref="E6:E30" si="2">E5+$F$5</f>
        <v>81.296296296296291</v>
      </c>
    </row>
    <row r="7" spans="1:6">
      <c r="A7" s="9">
        <v>22007</v>
      </c>
      <c r="B7" s="5"/>
      <c r="C7" s="5"/>
      <c r="D7" s="5" t="str">
        <f t="shared" si="1"/>
        <v/>
      </c>
      <c r="E7" s="17">
        <f t="shared" si="2"/>
        <v>114.44444444444443</v>
      </c>
    </row>
    <row r="8" spans="1:6">
      <c r="A8" s="9">
        <v>22037</v>
      </c>
      <c r="B8" s="5"/>
      <c r="C8" s="5"/>
      <c r="D8" s="5" t="str">
        <f t="shared" si="1"/>
        <v/>
      </c>
      <c r="E8" s="17">
        <f t="shared" si="2"/>
        <v>147.59259259259258</v>
      </c>
    </row>
    <row r="9" spans="1:6">
      <c r="A9" s="9">
        <v>22068</v>
      </c>
      <c r="B9" s="5"/>
      <c r="C9" s="5"/>
      <c r="D9" s="5" t="str">
        <f t="shared" si="1"/>
        <v/>
      </c>
      <c r="E9" s="17">
        <f t="shared" si="2"/>
        <v>180.74074074074073</v>
      </c>
    </row>
    <row r="10" spans="1:6">
      <c r="A10" s="9">
        <v>22098</v>
      </c>
      <c r="B10" s="5"/>
      <c r="C10" s="5"/>
      <c r="D10" s="5" t="str">
        <f t="shared" si="1"/>
        <v/>
      </c>
      <c r="E10" s="17">
        <f t="shared" si="2"/>
        <v>213.88888888888889</v>
      </c>
    </row>
    <row r="11" spans="1:6">
      <c r="A11" s="9">
        <v>22129</v>
      </c>
      <c r="B11" s="5"/>
      <c r="C11" s="5"/>
      <c r="D11" s="5" t="str">
        <f t="shared" si="1"/>
        <v/>
      </c>
      <c r="E11" s="17">
        <f t="shared" si="2"/>
        <v>247.03703703703704</v>
      </c>
    </row>
    <row r="12" spans="1:6">
      <c r="A12" s="9">
        <v>22160</v>
      </c>
      <c r="B12" s="5"/>
      <c r="C12" s="5"/>
      <c r="D12" s="5" t="str">
        <f t="shared" si="1"/>
        <v/>
      </c>
      <c r="E12" s="17">
        <f t="shared" si="2"/>
        <v>280.18518518518516</v>
      </c>
    </row>
    <row r="13" spans="1:6">
      <c r="A13" s="9">
        <v>22190</v>
      </c>
      <c r="B13" s="5"/>
      <c r="C13" s="5"/>
      <c r="D13" s="5" t="str">
        <f t="shared" si="1"/>
        <v/>
      </c>
      <c r="E13" s="17">
        <f t="shared" si="2"/>
        <v>313.33333333333331</v>
      </c>
    </row>
    <row r="14" spans="1:6">
      <c r="A14" s="9">
        <v>22221</v>
      </c>
      <c r="B14" s="5"/>
      <c r="C14" s="5"/>
      <c r="D14" s="5" t="str">
        <f t="shared" si="1"/>
        <v/>
      </c>
      <c r="E14" s="17">
        <f t="shared" si="2"/>
        <v>346.48148148148147</v>
      </c>
    </row>
    <row r="15" spans="1:6">
      <c r="A15" s="10">
        <v>22251</v>
      </c>
      <c r="B15" s="11"/>
      <c r="C15" s="11"/>
      <c r="D15" s="11" t="str">
        <f t="shared" si="1"/>
        <v/>
      </c>
      <c r="E15" s="18">
        <f t="shared" si="2"/>
        <v>379.62962962962962</v>
      </c>
    </row>
    <row r="16" spans="1:6">
      <c r="A16" s="9">
        <v>22282</v>
      </c>
      <c r="B16" s="5"/>
      <c r="C16" s="5"/>
      <c r="D16" s="5" t="str">
        <f t="shared" si="1"/>
        <v/>
      </c>
      <c r="E16" s="17">
        <f t="shared" si="2"/>
        <v>412.77777777777777</v>
      </c>
    </row>
    <row r="17" spans="1:6">
      <c r="A17" s="9">
        <v>22313</v>
      </c>
      <c r="B17" s="5"/>
      <c r="C17" s="5"/>
      <c r="D17" s="5" t="str">
        <f t="shared" si="1"/>
        <v/>
      </c>
      <c r="E17" s="17">
        <f t="shared" si="2"/>
        <v>445.92592592592592</v>
      </c>
    </row>
    <row r="18" spans="1:6">
      <c r="A18" s="9">
        <v>22341</v>
      </c>
      <c r="B18" s="5"/>
      <c r="C18" s="5"/>
      <c r="D18" s="5" t="str">
        <f t="shared" si="1"/>
        <v/>
      </c>
      <c r="E18" s="17">
        <f t="shared" si="2"/>
        <v>479.07407407407408</v>
      </c>
    </row>
    <row r="19" spans="1:6">
      <c r="A19" s="9">
        <v>22372</v>
      </c>
      <c r="B19" s="5"/>
      <c r="C19" s="5"/>
      <c r="D19" s="5" t="str">
        <f t="shared" si="1"/>
        <v/>
      </c>
      <c r="E19" s="17">
        <f t="shared" si="2"/>
        <v>512.22222222222217</v>
      </c>
    </row>
    <row r="20" spans="1:6">
      <c r="A20" s="9">
        <v>22402</v>
      </c>
      <c r="B20" s="5"/>
      <c r="C20" s="5"/>
      <c r="D20" s="5" t="str">
        <f t="shared" si="1"/>
        <v/>
      </c>
      <c r="E20" s="17">
        <f t="shared" si="2"/>
        <v>545.37037037037032</v>
      </c>
    </row>
    <row r="21" spans="1:6">
      <c r="A21" s="9">
        <v>22433</v>
      </c>
      <c r="B21" s="5"/>
      <c r="C21" s="5"/>
      <c r="D21" s="5" t="str">
        <f t="shared" si="1"/>
        <v/>
      </c>
      <c r="E21" s="17">
        <f t="shared" si="2"/>
        <v>578.51851851851848</v>
      </c>
    </row>
    <row r="22" spans="1:6">
      <c r="A22" s="9">
        <v>22463</v>
      </c>
      <c r="B22" s="5"/>
      <c r="C22" s="5"/>
      <c r="D22" s="5" t="str">
        <f t="shared" si="1"/>
        <v/>
      </c>
      <c r="E22" s="17">
        <f t="shared" si="2"/>
        <v>611.66666666666663</v>
      </c>
    </row>
    <row r="23" spans="1:6">
      <c r="A23" s="9">
        <v>22494</v>
      </c>
      <c r="B23" s="5"/>
      <c r="C23" s="5"/>
      <c r="D23" s="5" t="str">
        <f t="shared" si="1"/>
        <v/>
      </c>
      <c r="E23" s="17">
        <f t="shared" si="2"/>
        <v>644.81481481481478</v>
      </c>
    </row>
    <row r="24" spans="1:6">
      <c r="A24" s="9">
        <v>22525</v>
      </c>
      <c r="B24" s="5"/>
      <c r="C24" s="5"/>
      <c r="D24" s="5" t="str">
        <f t="shared" si="1"/>
        <v/>
      </c>
      <c r="E24" s="17">
        <f t="shared" si="2"/>
        <v>677.96296296296293</v>
      </c>
    </row>
    <row r="25" spans="1:6">
      <c r="A25" s="9">
        <v>22555</v>
      </c>
      <c r="B25" s="5"/>
      <c r="C25" s="5"/>
      <c r="D25" s="5" t="str">
        <f t="shared" si="1"/>
        <v/>
      </c>
      <c r="E25" s="17">
        <f t="shared" si="2"/>
        <v>711.11111111111109</v>
      </c>
    </row>
    <row r="26" spans="1:6">
      <c r="A26" s="9">
        <v>22586</v>
      </c>
      <c r="B26" s="5"/>
      <c r="C26" s="5"/>
      <c r="D26" s="5" t="str">
        <f t="shared" si="1"/>
        <v/>
      </c>
      <c r="E26" s="17">
        <f t="shared" si="2"/>
        <v>744.25925925925924</v>
      </c>
    </row>
    <row r="27" spans="1:6">
      <c r="A27" s="10">
        <v>22616</v>
      </c>
      <c r="B27" s="11"/>
      <c r="C27" s="11"/>
      <c r="D27" s="11" t="str">
        <f t="shared" si="1"/>
        <v/>
      </c>
      <c r="E27" s="18">
        <f t="shared" si="2"/>
        <v>777.40740740740739</v>
      </c>
    </row>
    <row r="28" spans="1:6">
      <c r="A28" s="9">
        <v>22647</v>
      </c>
      <c r="B28" s="5"/>
      <c r="C28" s="5"/>
      <c r="D28" s="5" t="str">
        <f t="shared" si="1"/>
        <v/>
      </c>
      <c r="E28" s="17">
        <f t="shared" si="2"/>
        <v>810.55555555555554</v>
      </c>
    </row>
    <row r="29" spans="1:6">
      <c r="A29" s="9">
        <v>22678</v>
      </c>
      <c r="B29" s="5"/>
      <c r="C29" s="5"/>
      <c r="D29" s="5" t="str">
        <f t="shared" si="1"/>
        <v/>
      </c>
      <c r="E29" s="17">
        <f t="shared" si="2"/>
        <v>843.7037037037037</v>
      </c>
    </row>
    <row r="30" spans="1:6">
      <c r="A30" s="9">
        <v>22706</v>
      </c>
      <c r="B30" s="5"/>
      <c r="C30" s="5"/>
      <c r="D30" s="5" t="str">
        <f t="shared" si="1"/>
        <v/>
      </c>
      <c r="E30" s="17">
        <f t="shared" si="2"/>
        <v>876.85185185185185</v>
      </c>
    </row>
    <row r="31" spans="1:6">
      <c r="A31" s="9">
        <v>22737</v>
      </c>
      <c r="B31" s="5">
        <v>410</v>
      </c>
      <c r="C31" s="5">
        <v>500</v>
      </c>
      <c r="D31" s="5">
        <f t="shared" si="1"/>
        <v>910</v>
      </c>
      <c r="E31" s="5">
        <f t="shared" ref="E31:E68" si="3">D31</f>
        <v>910</v>
      </c>
    </row>
    <row r="32" spans="1:6">
      <c r="A32" s="9">
        <v>22767</v>
      </c>
      <c r="B32" s="5"/>
      <c r="C32" s="5"/>
      <c r="D32" s="5" t="str">
        <f t="shared" si="1"/>
        <v/>
      </c>
      <c r="E32" s="17">
        <f>E31+$F$32</f>
        <v>1044.1666666666667</v>
      </c>
      <c r="F32">
        <f>(D37-D31)/6</f>
        <v>134.16666666666666</v>
      </c>
    </row>
    <row r="33" spans="1:5">
      <c r="A33" s="9">
        <v>22798</v>
      </c>
      <c r="B33" s="5"/>
      <c r="C33" s="5"/>
      <c r="D33" s="5" t="str">
        <f t="shared" si="1"/>
        <v/>
      </c>
      <c r="E33" s="17">
        <f t="shared" ref="E33:E36" si="4">E32+$F$32</f>
        <v>1178.3333333333335</v>
      </c>
    </row>
    <row r="34" spans="1:5">
      <c r="A34" s="9">
        <v>22828</v>
      </c>
      <c r="B34" s="5"/>
      <c r="C34" s="5"/>
      <c r="D34" s="5" t="str">
        <f t="shared" si="1"/>
        <v/>
      </c>
      <c r="E34" s="17">
        <f t="shared" si="4"/>
        <v>1312.5000000000002</v>
      </c>
    </row>
    <row r="35" spans="1:5">
      <c r="A35" s="9">
        <v>22859</v>
      </c>
      <c r="B35" s="5"/>
      <c r="C35" s="5"/>
      <c r="D35" s="5" t="str">
        <f t="shared" si="1"/>
        <v/>
      </c>
      <c r="E35" s="17">
        <f t="shared" si="4"/>
        <v>1446.666666666667</v>
      </c>
    </row>
    <row r="36" spans="1:5">
      <c r="A36" s="9">
        <v>22890</v>
      </c>
      <c r="B36" s="5"/>
      <c r="C36" s="5"/>
      <c r="D36" s="5" t="str">
        <f t="shared" si="1"/>
        <v/>
      </c>
      <c r="E36" s="17">
        <f t="shared" si="4"/>
        <v>1580.8333333333337</v>
      </c>
    </row>
    <row r="37" spans="1:5">
      <c r="A37" s="9">
        <v>22920</v>
      </c>
      <c r="B37" s="5">
        <v>1265</v>
      </c>
      <c r="C37" s="5">
        <v>450</v>
      </c>
      <c r="D37" s="5">
        <f t="shared" si="1"/>
        <v>1715</v>
      </c>
      <c r="E37" s="5">
        <f t="shared" si="3"/>
        <v>1715</v>
      </c>
    </row>
    <row r="38" spans="1:5">
      <c r="A38" s="9">
        <v>22951</v>
      </c>
      <c r="B38" s="5">
        <v>1300</v>
      </c>
      <c r="C38" s="5">
        <v>460</v>
      </c>
      <c r="D38" s="5">
        <f t="shared" si="1"/>
        <v>1760</v>
      </c>
      <c r="E38" s="5">
        <f t="shared" si="3"/>
        <v>1760</v>
      </c>
    </row>
    <row r="39" spans="1:5">
      <c r="A39" s="10">
        <v>22981</v>
      </c>
      <c r="B39" s="11">
        <v>1250</v>
      </c>
      <c r="C39" s="11">
        <v>400</v>
      </c>
      <c r="D39" s="11">
        <f t="shared" si="1"/>
        <v>1650</v>
      </c>
      <c r="E39" s="11">
        <f t="shared" si="3"/>
        <v>1650</v>
      </c>
    </row>
    <row r="40" spans="1:5">
      <c r="A40" s="9">
        <v>23012</v>
      </c>
      <c r="B40" s="5">
        <v>1350</v>
      </c>
      <c r="C40" s="5">
        <v>320</v>
      </c>
      <c r="D40" s="5">
        <f t="shared" si="1"/>
        <v>1670</v>
      </c>
      <c r="E40" s="5">
        <f t="shared" si="3"/>
        <v>1670</v>
      </c>
    </row>
    <row r="41" spans="1:5">
      <c r="A41" s="9">
        <v>23043</v>
      </c>
      <c r="B41" s="5">
        <v>1350</v>
      </c>
      <c r="C41" s="5">
        <v>320</v>
      </c>
      <c r="D41" s="5">
        <f t="shared" si="1"/>
        <v>1670</v>
      </c>
      <c r="E41" s="5">
        <f t="shared" si="3"/>
        <v>1670</v>
      </c>
    </row>
    <row r="42" spans="1:5">
      <c r="A42" s="9">
        <v>23071</v>
      </c>
      <c r="B42" s="5">
        <v>1300</v>
      </c>
      <c r="C42" s="5">
        <v>300</v>
      </c>
      <c r="D42" s="5">
        <f t="shared" si="1"/>
        <v>1600</v>
      </c>
      <c r="E42" s="5">
        <f t="shared" si="3"/>
        <v>1600</v>
      </c>
    </row>
    <row r="43" spans="1:5">
      <c r="A43" s="9">
        <v>23102</v>
      </c>
      <c r="B43" s="5">
        <v>1320</v>
      </c>
      <c r="C43" s="5">
        <v>280</v>
      </c>
      <c r="D43" s="5">
        <f t="shared" si="1"/>
        <v>1600</v>
      </c>
      <c r="E43" s="5">
        <f t="shared" si="3"/>
        <v>1600</v>
      </c>
    </row>
    <row r="44" spans="1:5">
      <c r="A44" s="9">
        <v>23132</v>
      </c>
      <c r="B44" s="5">
        <v>1400</v>
      </c>
      <c r="C44" s="5">
        <v>260</v>
      </c>
      <c r="D44" s="5">
        <f t="shared" si="1"/>
        <v>1660</v>
      </c>
      <c r="E44" s="5">
        <f t="shared" si="3"/>
        <v>1660</v>
      </c>
    </row>
    <row r="45" spans="1:5">
      <c r="A45" s="9">
        <v>23163</v>
      </c>
      <c r="B45" s="5"/>
      <c r="C45" s="5"/>
      <c r="D45" s="5" t="str">
        <f t="shared" si="1"/>
        <v/>
      </c>
      <c r="E45" s="17">
        <f>(D44+D46)/2</f>
        <v>1650</v>
      </c>
    </row>
    <row r="46" spans="1:5">
      <c r="A46" s="9">
        <v>23193</v>
      </c>
      <c r="B46" s="5">
        <v>1390</v>
      </c>
      <c r="C46" s="5">
        <v>250</v>
      </c>
      <c r="D46" s="5">
        <f t="shared" si="1"/>
        <v>1640</v>
      </c>
      <c r="E46" s="5">
        <f t="shared" si="3"/>
        <v>1640</v>
      </c>
    </row>
    <row r="47" spans="1:5">
      <c r="A47" s="9">
        <v>23224</v>
      </c>
      <c r="B47" s="5">
        <v>1390</v>
      </c>
      <c r="C47" s="5">
        <v>250</v>
      </c>
      <c r="D47" s="5">
        <f t="shared" si="1"/>
        <v>1640</v>
      </c>
      <c r="E47" s="5">
        <f t="shared" si="3"/>
        <v>1640</v>
      </c>
    </row>
    <row r="48" spans="1:5">
      <c r="A48" s="9">
        <v>23255</v>
      </c>
      <c r="B48" s="5">
        <v>1310</v>
      </c>
      <c r="C48" s="5">
        <v>220</v>
      </c>
      <c r="D48" s="5">
        <f t="shared" si="1"/>
        <v>1530</v>
      </c>
      <c r="E48" s="5">
        <f t="shared" si="3"/>
        <v>1530</v>
      </c>
    </row>
    <row r="49" spans="1:5">
      <c r="A49" s="9">
        <v>23285</v>
      </c>
      <c r="B49" s="5">
        <v>1351</v>
      </c>
      <c r="C49" s="5">
        <v>190</v>
      </c>
      <c r="D49" s="5">
        <f t="shared" si="1"/>
        <v>1541</v>
      </c>
      <c r="E49" s="5">
        <f t="shared" si="3"/>
        <v>1541</v>
      </c>
    </row>
    <row r="50" spans="1:5">
      <c r="A50" s="9">
        <v>23316</v>
      </c>
      <c r="B50" s="5">
        <v>1370</v>
      </c>
      <c r="C50" s="5">
        <v>150</v>
      </c>
      <c r="D50" s="5">
        <f t="shared" si="1"/>
        <v>1520</v>
      </c>
      <c r="E50" s="5">
        <f t="shared" si="3"/>
        <v>1520</v>
      </c>
    </row>
    <row r="51" spans="1:5">
      <c r="A51" s="10">
        <v>23346</v>
      </c>
      <c r="B51" s="11">
        <v>1380</v>
      </c>
      <c r="C51" s="11">
        <v>130</v>
      </c>
      <c r="D51" s="11">
        <f t="shared" si="1"/>
        <v>1510</v>
      </c>
      <c r="E51" s="11">
        <f t="shared" si="3"/>
        <v>1510</v>
      </c>
    </row>
    <row r="52" spans="1:5">
      <c r="A52" s="9">
        <v>23377</v>
      </c>
      <c r="B52" s="5">
        <v>1350</v>
      </c>
      <c r="C52" s="5">
        <v>110</v>
      </c>
      <c r="D52" s="5">
        <f t="shared" si="1"/>
        <v>1460</v>
      </c>
      <c r="E52" s="5">
        <f t="shared" si="3"/>
        <v>1460</v>
      </c>
    </row>
    <row r="53" spans="1:5">
      <c r="A53" s="9">
        <v>23408</v>
      </c>
      <c r="B53" s="5"/>
      <c r="C53" s="5"/>
      <c r="D53" s="5" t="str">
        <f t="shared" si="1"/>
        <v/>
      </c>
      <c r="E53" s="5">
        <f>(D54+D52)/2</f>
        <v>1485</v>
      </c>
    </row>
    <row r="54" spans="1:5">
      <c r="A54" s="9">
        <v>23437</v>
      </c>
      <c r="B54" s="5">
        <v>1440</v>
      </c>
      <c r="C54" s="5">
        <v>70</v>
      </c>
      <c r="D54" s="5">
        <f t="shared" si="1"/>
        <v>1510</v>
      </c>
      <c r="E54" s="5">
        <f t="shared" si="3"/>
        <v>1510</v>
      </c>
    </row>
    <row r="55" spans="1:5">
      <c r="A55" s="9">
        <v>23468</v>
      </c>
      <c r="B55" s="5">
        <v>1450</v>
      </c>
      <c r="C55" s="5">
        <v>60</v>
      </c>
      <c r="D55" s="5">
        <f t="shared" si="1"/>
        <v>1510</v>
      </c>
      <c r="E55" s="5">
        <f t="shared" si="3"/>
        <v>1510</v>
      </c>
    </row>
    <row r="56" spans="1:5">
      <c r="A56" s="9">
        <v>23498</v>
      </c>
      <c r="B56" s="5">
        <v>1475</v>
      </c>
      <c r="C56" s="5">
        <v>53</v>
      </c>
      <c r="D56" s="5">
        <f t="shared" si="1"/>
        <v>1528</v>
      </c>
      <c r="E56" s="5">
        <f t="shared" si="3"/>
        <v>1528</v>
      </c>
    </row>
    <row r="57" spans="1:5">
      <c r="A57" s="9">
        <v>23529</v>
      </c>
      <c r="B57" s="5"/>
      <c r="C57" s="5"/>
      <c r="D57" s="5" t="str">
        <f t="shared" si="1"/>
        <v/>
      </c>
      <c r="E57" s="5">
        <f>(D56+D58)/2</f>
        <v>1519</v>
      </c>
    </row>
    <row r="58" spans="1:5">
      <c r="A58" s="9">
        <v>23559</v>
      </c>
      <c r="B58" s="5">
        <v>1480</v>
      </c>
      <c r="C58" s="5">
        <v>30</v>
      </c>
      <c r="D58" s="5">
        <f t="shared" si="1"/>
        <v>1510</v>
      </c>
      <c r="E58" s="5">
        <f t="shared" si="3"/>
        <v>1510</v>
      </c>
    </row>
    <row r="59" spans="1:5">
      <c r="A59" s="9">
        <v>23590</v>
      </c>
      <c r="B59" s="5">
        <v>1500</v>
      </c>
      <c r="C59" s="5">
        <v>40</v>
      </c>
      <c r="D59" s="5">
        <f t="shared" si="1"/>
        <v>1540</v>
      </c>
      <c r="E59" s="5">
        <f t="shared" si="3"/>
        <v>1540</v>
      </c>
    </row>
    <row r="60" spans="1:5">
      <c r="A60" s="9">
        <v>23621</v>
      </c>
      <c r="B60" s="5">
        <v>1490</v>
      </c>
      <c r="C60" s="5">
        <v>35</v>
      </c>
      <c r="D60" s="5">
        <f t="shared" si="1"/>
        <v>1525</v>
      </c>
      <c r="E60" s="5">
        <f t="shared" si="3"/>
        <v>1525</v>
      </c>
    </row>
    <row r="61" spans="1:5">
      <c r="A61" s="9">
        <v>23651</v>
      </c>
      <c r="B61" s="5">
        <v>1505</v>
      </c>
      <c r="C61" s="5">
        <v>30</v>
      </c>
      <c r="D61" s="5">
        <f t="shared" si="1"/>
        <v>1535</v>
      </c>
      <c r="E61" s="5">
        <f t="shared" si="3"/>
        <v>1535</v>
      </c>
    </row>
    <row r="62" spans="1:5">
      <c r="A62" s="9">
        <v>23682</v>
      </c>
      <c r="B62" s="5">
        <v>1510</v>
      </c>
      <c r="C62" s="5">
        <v>25</v>
      </c>
      <c r="D62" s="5">
        <f t="shared" si="1"/>
        <v>1535</v>
      </c>
      <c r="E62" s="5">
        <f t="shared" si="3"/>
        <v>1535</v>
      </c>
    </row>
    <row r="63" spans="1:5">
      <c r="A63" s="10">
        <v>23712</v>
      </c>
      <c r="B63" s="11">
        <v>1520</v>
      </c>
      <c r="C63" s="11">
        <v>20</v>
      </c>
      <c r="D63" s="11">
        <f t="shared" si="1"/>
        <v>1540</v>
      </c>
      <c r="E63" s="11">
        <f t="shared" si="3"/>
        <v>1540</v>
      </c>
    </row>
    <row r="64" spans="1:5">
      <c r="A64" s="9">
        <v>23743</v>
      </c>
      <c r="B64" s="5">
        <v>1520</v>
      </c>
      <c r="C64" s="5">
        <v>20</v>
      </c>
      <c r="D64" s="5">
        <f t="shared" si="1"/>
        <v>1540</v>
      </c>
      <c r="E64" s="5">
        <f t="shared" si="3"/>
        <v>1540</v>
      </c>
    </row>
    <row r="65" spans="1:5">
      <c r="A65" s="9">
        <v>23774</v>
      </c>
      <c r="B65" s="5">
        <v>1510</v>
      </c>
      <c r="C65" s="5">
        <v>18</v>
      </c>
      <c r="D65" s="5">
        <f t="shared" si="1"/>
        <v>1528</v>
      </c>
      <c r="E65" s="5">
        <f t="shared" si="3"/>
        <v>1528</v>
      </c>
    </row>
    <row r="66" spans="1:5">
      <c r="A66" s="9">
        <v>23802</v>
      </c>
      <c r="B66" s="5">
        <v>1700</v>
      </c>
      <c r="C66" s="5">
        <v>30</v>
      </c>
      <c r="D66" s="5">
        <f t="shared" si="1"/>
        <v>1730</v>
      </c>
      <c r="E66" s="5">
        <f t="shared" si="3"/>
        <v>1730</v>
      </c>
    </row>
    <row r="67" spans="1:5">
      <c r="A67" s="9">
        <v>23833</v>
      </c>
      <c r="B67" s="5">
        <v>1700</v>
      </c>
      <c r="C67" s="5">
        <v>30</v>
      </c>
      <c r="D67" s="5">
        <f t="shared" si="1"/>
        <v>1730</v>
      </c>
      <c r="E67" s="5">
        <f t="shared" si="3"/>
        <v>1730</v>
      </c>
    </row>
    <row r="68" spans="1:5">
      <c r="A68" s="9">
        <v>23863</v>
      </c>
      <c r="B68" s="5">
        <v>1700</v>
      </c>
      <c r="C68" s="5">
        <v>30</v>
      </c>
      <c r="D68" s="5">
        <f t="shared" si="1"/>
        <v>1730</v>
      </c>
      <c r="E68" s="5">
        <f t="shared" si="3"/>
        <v>1730</v>
      </c>
    </row>
    <row r="69" spans="1:5">
      <c r="A69" s="9">
        <v>23894</v>
      </c>
      <c r="B69" s="5"/>
      <c r="C69" s="5"/>
      <c r="D69" s="5" t="str">
        <f t="shared" si="1"/>
        <v/>
      </c>
      <c r="E69" s="5">
        <f>(D68+D70)/2</f>
        <v>1730</v>
      </c>
    </row>
    <row r="70" spans="1:5">
      <c r="A70" s="9">
        <v>23924</v>
      </c>
      <c r="B70" s="5">
        <v>1700</v>
      </c>
      <c r="C70" s="5">
        <v>30</v>
      </c>
      <c r="D70" s="5">
        <f t="shared" ref="D70:D133" si="5">IF(B70+C70&gt;0,B70+C70,"")</f>
        <v>1730</v>
      </c>
      <c r="E70" s="5">
        <f t="shared" ref="E70:E132" si="6">D70</f>
        <v>1730</v>
      </c>
    </row>
    <row r="71" spans="1:5">
      <c r="A71" s="9">
        <v>23955</v>
      </c>
      <c r="B71" s="5">
        <v>1750</v>
      </c>
      <c r="C71" s="5">
        <v>30</v>
      </c>
      <c r="D71" s="5">
        <f t="shared" si="5"/>
        <v>1780</v>
      </c>
      <c r="E71" s="5">
        <f t="shared" si="6"/>
        <v>1780</v>
      </c>
    </row>
    <row r="72" spans="1:5">
      <c r="A72" s="9">
        <v>23986</v>
      </c>
      <c r="B72" s="5">
        <v>1750</v>
      </c>
      <c r="C72" s="5">
        <v>30</v>
      </c>
      <c r="D72" s="5">
        <f t="shared" si="5"/>
        <v>1780</v>
      </c>
      <c r="E72" s="5">
        <f t="shared" si="6"/>
        <v>1780</v>
      </c>
    </row>
    <row r="73" spans="1:5">
      <c r="A73" s="9">
        <v>24016</v>
      </c>
      <c r="B73" s="5">
        <v>1740</v>
      </c>
      <c r="C73" s="5">
        <v>25</v>
      </c>
      <c r="D73" s="5">
        <f t="shared" si="5"/>
        <v>1765</v>
      </c>
      <c r="E73" s="5">
        <f t="shared" si="6"/>
        <v>1765</v>
      </c>
    </row>
    <row r="74" spans="1:5">
      <c r="A74" s="9">
        <v>24047</v>
      </c>
      <c r="B74" s="5">
        <v>1720</v>
      </c>
      <c r="C74" s="5">
        <v>20</v>
      </c>
      <c r="D74" s="5">
        <f t="shared" si="5"/>
        <v>1740</v>
      </c>
      <c r="E74" s="5">
        <f t="shared" si="6"/>
        <v>1740</v>
      </c>
    </row>
    <row r="75" spans="1:5">
      <c r="A75" s="10">
        <v>24077</v>
      </c>
      <c r="B75" s="11">
        <v>1700</v>
      </c>
      <c r="C75" s="11">
        <v>20</v>
      </c>
      <c r="D75" s="11">
        <f t="shared" si="5"/>
        <v>1720</v>
      </c>
      <c r="E75" s="11">
        <f t="shared" si="6"/>
        <v>1720</v>
      </c>
    </row>
    <row r="76" spans="1:5">
      <c r="A76" s="9">
        <v>24108</v>
      </c>
      <c r="B76" s="5">
        <v>1700</v>
      </c>
      <c r="C76" s="5">
        <v>20</v>
      </c>
      <c r="D76" s="5">
        <f t="shared" si="5"/>
        <v>1720</v>
      </c>
      <c r="E76" s="5">
        <f t="shared" si="6"/>
        <v>1720</v>
      </c>
    </row>
    <row r="77" spans="1:5">
      <c r="A77" s="9">
        <v>24139</v>
      </c>
      <c r="B77" s="5">
        <v>1700</v>
      </c>
      <c r="C77" s="5">
        <v>20</v>
      </c>
      <c r="D77" s="5">
        <f t="shared" si="5"/>
        <v>1720</v>
      </c>
      <c r="E77" s="5">
        <f t="shared" si="6"/>
        <v>1720</v>
      </c>
    </row>
    <row r="78" spans="1:5">
      <c r="A78" s="9">
        <v>24167</v>
      </c>
      <c r="B78" s="5">
        <v>1700</v>
      </c>
      <c r="C78" s="5">
        <v>20</v>
      </c>
      <c r="D78" s="5">
        <f t="shared" si="5"/>
        <v>1720</v>
      </c>
      <c r="E78" s="5">
        <f t="shared" si="6"/>
        <v>1720</v>
      </c>
    </row>
    <row r="79" spans="1:5">
      <c r="A79" s="9">
        <v>24198</v>
      </c>
      <c r="B79" s="5">
        <v>1700</v>
      </c>
      <c r="C79" s="5">
        <v>30</v>
      </c>
      <c r="D79" s="5">
        <f t="shared" si="5"/>
        <v>1730</v>
      </c>
      <c r="E79" s="5">
        <f t="shared" si="6"/>
        <v>1730</v>
      </c>
    </row>
    <row r="80" spans="1:5">
      <c r="A80" s="9">
        <v>24228</v>
      </c>
      <c r="B80" s="5">
        <v>1700</v>
      </c>
      <c r="C80" s="5">
        <v>30</v>
      </c>
      <c r="D80" s="5">
        <f t="shared" si="5"/>
        <v>1730</v>
      </c>
      <c r="E80" s="5">
        <f t="shared" si="6"/>
        <v>1730</v>
      </c>
    </row>
    <row r="81" spans="1:6">
      <c r="A81" s="9">
        <v>24259</v>
      </c>
      <c r="B81" s="5"/>
      <c r="C81" s="5"/>
      <c r="D81" s="5" t="str">
        <f t="shared" si="5"/>
        <v/>
      </c>
      <c r="E81" s="5">
        <f>(D80+D82)/2</f>
        <v>1740</v>
      </c>
    </row>
    <row r="82" spans="1:6">
      <c r="A82" s="9">
        <v>24289</v>
      </c>
      <c r="B82" s="5">
        <v>1700</v>
      </c>
      <c r="C82" s="5">
        <v>50</v>
      </c>
      <c r="D82" s="5">
        <f t="shared" si="5"/>
        <v>1750</v>
      </c>
      <c r="E82" s="5">
        <f t="shared" si="6"/>
        <v>1750</v>
      </c>
    </row>
    <row r="83" spans="1:6">
      <c r="A83" s="9">
        <v>24320</v>
      </c>
      <c r="B83" s="5">
        <v>1700</v>
      </c>
      <c r="C83" s="5">
        <v>50</v>
      </c>
      <c r="D83" s="5">
        <f t="shared" si="5"/>
        <v>1750</v>
      </c>
      <c r="E83" s="5">
        <f t="shared" si="6"/>
        <v>1750</v>
      </c>
    </row>
    <row r="84" spans="1:6">
      <c r="A84" s="9">
        <v>24351</v>
      </c>
      <c r="B84" s="5">
        <v>1700</v>
      </c>
      <c r="C84" s="5">
        <v>30</v>
      </c>
      <c r="D84" s="5">
        <f t="shared" si="5"/>
        <v>1730</v>
      </c>
      <c r="E84" s="5">
        <f t="shared" si="6"/>
        <v>1730</v>
      </c>
    </row>
    <row r="85" spans="1:6">
      <c r="A85" s="9">
        <v>24381</v>
      </c>
      <c r="B85" s="5">
        <v>1680</v>
      </c>
      <c r="C85" s="5">
        <v>20</v>
      </c>
      <c r="D85" s="5">
        <f t="shared" si="5"/>
        <v>1700</v>
      </c>
      <c r="E85" s="5">
        <f t="shared" si="6"/>
        <v>1700</v>
      </c>
    </row>
    <row r="86" spans="1:6">
      <c r="A86" s="9">
        <v>24412</v>
      </c>
      <c r="B86" s="5">
        <v>1680</v>
      </c>
      <c r="C86" s="5">
        <v>20</v>
      </c>
      <c r="D86" s="5">
        <f t="shared" si="5"/>
        <v>1700</v>
      </c>
      <c r="E86" s="5">
        <f t="shared" si="6"/>
        <v>1700</v>
      </c>
    </row>
    <row r="87" spans="1:6">
      <c r="A87" s="10">
        <v>24442</v>
      </c>
      <c r="B87" s="11">
        <v>1680</v>
      </c>
      <c r="C87" s="11">
        <v>20</v>
      </c>
      <c r="D87" s="11">
        <f t="shared" si="5"/>
        <v>1700</v>
      </c>
      <c r="E87" s="11">
        <f t="shared" si="6"/>
        <v>1700</v>
      </c>
    </row>
    <row r="88" spans="1:6">
      <c r="A88" s="9">
        <v>24473</v>
      </c>
      <c r="B88" s="5">
        <v>1670</v>
      </c>
      <c r="C88" s="5">
        <v>20</v>
      </c>
      <c r="D88" s="5">
        <f t="shared" si="5"/>
        <v>1690</v>
      </c>
      <c r="E88" s="5">
        <f t="shared" si="6"/>
        <v>1690</v>
      </c>
    </row>
    <row r="89" spans="1:6">
      <c r="A89" s="9">
        <v>24504</v>
      </c>
      <c r="B89" s="5">
        <v>1670</v>
      </c>
      <c r="C89" s="5">
        <v>20</v>
      </c>
      <c r="D89" s="5">
        <f t="shared" si="5"/>
        <v>1690</v>
      </c>
      <c r="E89" s="5">
        <f t="shared" si="6"/>
        <v>1690</v>
      </c>
    </row>
    <row r="90" spans="1:6">
      <c r="A90" s="9">
        <v>24532</v>
      </c>
      <c r="B90" s="5">
        <v>1670</v>
      </c>
      <c r="C90" s="5">
        <v>20</v>
      </c>
      <c r="D90" s="5">
        <f t="shared" si="5"/>
        <v>1690</v>
      </c>
      <c r="E90" s="5">
        <f t="shared" si="6"/>
        <v>1690</v>
      </c>
    </row>
    <row r="91" spans="1:6">
      <c r="A91" s="9">
        <v>24563</v>
      </c>
      <c r="B91" s="5">
        <v>1665</v>
      </c>
      <c r="C91" s="5">
        <v>15</v>
      </c>
      <c r="D91" s="5">
        <f t="shared" si="5"/>
        <v>1680</v>
      </c>
      <c r="E91" s="5">
        <f t="shared" si="6"/>
        <v>1680</v>
      </c>
    </row>
    <row r="92" spans="1:6">
      <c r="A92" s="9">
        <v>24593</v>
      </c>
      <c r="B92" s="5">
        <v>1660</v>
      </c>
      <c r="C92" s="5">
        <v>90</v>
      </c>
      <c r="D92" s="5">
        <f t="shared" si="5"/>
        <v>1750</v>
      </c>
      <c r="E92" s="5">
        <f t="shared" si="6"/>
        <v>1750</v>
      </c>
    </row>
    <row r="93" spans="1:6">
      <c r="A93" s="9">
        <v>24624</v>
      </c>
      <c r="B93" s="5"/>
      <c r="C93" s="5"/>
      <c r="D93" s="5" t="str">
        <f t="shared" si="5"/>
        <v/>
      </c>
      <c r="E93" s="5">
        <f>(D92+D94)/2</f>
        <v>1745</v>
      </c>
    </row>
    <row r="94" spans="1:6">
      <c r="A94" s="9">
        <v>24654</v>
      </c>
      <c r="B94" s="5">
        <v>1650</v>
      </c>
      <c r="C94" s="5">
        <v>90</v>
      </c>
      <c r="D94" s="5">
        <f t="shared" si="5"/>
        <v>1740</v>
      </c>
      <c r="E94" s="5">
        <f t="shared" si="6"/>
        <v>1740</v>
      </c>
    </row>
    <row r="95" spans="1:6">
      <c r="A95" s="9">
        <v>24685</v>
      </c>
      <c r="B95" s="5">
        <v>1670</v>
      </c>
      <c r="C95" s="5">
        <v>80</v>
      </c>
      <c r="D95" s="5">
        <f t="shared" si="5"/>
        <v>1750</v>
      </c>
      <c r="E95" s="5">
        <f t="shared" si="6"/>
        <v>1750</v>
      </c>
    </row>
    <row r="96" spans="1:6">
      <c r="A96" s="9">
        <v>24716</v>
      </c>
      <c r="B96" s="5"/>
      <c r="C96" s="5"/>
      <c r="D96" s="5" t="str">
        <f t="shared" si="5"/>
        <v/>
      </c>
      <c r="E96" s="5">
        <f>E95+$F$96</f>
        <v>1700</v>
      </c>
      <c r="F96">
        <f>(D100-D95)/5</f>
        <v>-50</v>
      </c>
    </row>
    <row r="97" spans="1:5">
      <c r="A97" s="9">
        <v>24746</v>
      </c>
      <c r="B97" s="5"/>
      <c r="C97" s="5"/>
      <c r="D97" s="5" t="str">
        <f t="shared" si="5"/>
        <v/>
      </c>
      <c r="E97" s="5">
        <f t="shared" ref="E97:E99" si="7">E96+$F$96</f>
        <v>1650</v>
      </c>
    </row>
    <row r="98" spans="1:5">
      <c r="A98" s="9">
        <v>24777</v>
      </c>
      <c r="B98" s="5"/>
      <c r="C98" s="5"/>
      <c r="D98" s="5" t="str">
        <f t="shared" si="5"/>
        <v/>
      </c>
      <c r="E98" s="5">
        <f t="shared" si="7"/>
        <v>1600</v>
      </c>
    </row>
    <row r="99" spans="1:5">
      <c r="A99" s="10">
        <v>24807</v>
      </c>
      <c r="B99" s="11"/>
      <c r="C99" s="11"/>
      <c r="D99" s="11" t="str">
        <f t="shared" si="5"/>
        <v/>
      </c>
      <c r="E99" s="11">
        <f t="shared" si="7"/>
        <v>1550</v>
      </c>
    </row>
    <row r="100" spans="1:5">
      <c r="A100" s="9">
        <v>24838</v>
      </c>
      <c r="B100" s="5">
        <v>1500</v>
      </c>
      <c r="C100" s="5"/>
      <c r="D100" s="5">
        <f t="shared" si="5"/>
        <v>1500</v>
      </c>
      <c r="E100" s="5">
        <f t="shared" si="6"/>
        <v>1500</v>
      </c>
    </row>
    <row r="101" spans="1:5">
      <c r="A101" s="9">
        <v>24869</v>
      </c>
      <c r="B101" s="5">
        <v>1500</v>
      </c>
      <c r="C101" s="5"/>
      <c r="D101" s="5">
        <f t="shared" si="5"/>
        <v>1500</v>
      </c>
      <c r="E101" s="5">
        <f t="shared" si="6"/>
        <v>1500</v>
      </c>
    </row>
    <row r="102" spans="1:5">
      <c r="A102" s="9">
        <v>24898</v>
      </c>
      <c r="B102" s="5">
        <v>1500</v>
      </c>
      <c r="C102" s="5"/>
      <c r="D102" s="5">
        <f t="shared" si="5"/>
        <v>1500</v>
      </c>
      <c r="E102" s="5">
        <f t="shared" si="6"/>
        <v>1500</v>
      </c>
    </row>
    <row r="103" spans="1:5">
      <c r="A103" s="9">
        <v>24929</v>
      </c>
      <c r="B103" s="5">
        <v>1500</v>
      </c>
      <c r="C103" s="5"/>
      <c r="D103" s="5">
        <f t="shared" si="5"/>
        <v>1500</v>
      </c>
      <c r="E103" s="5">
        <f t="shared" si="6"/>
        <v>1500</v>
      </c>
    </row>
    <row r="104" spans="1:5">
      <c r="A104" s="9">
        <v>24959</v>
      </c>
      <c r="B104" s="5">
        <v>1500</v>
      </c>
      <c r="C104" s="5"/>
      <c r="D104" s="5">
        <f t="shared" si="5"/>
        <v>1500</v>
      </c>
      <c r="E104" s="5">
        <f t="shared" si="6"/>
        <v>1500</v>
      </c>
    </row>
    <row r="105" spans="1:5">
      <c r="A105" s="9">
        <v>24990</v>
      </c>
      <c r="B105" s="5">
        <v>1500</v>
      </c>
      <c r="C105" s="5"/>
      <c r="D105" s="5">
        <f t="shared" si="5"/>
        <v>1500</v>
      </c>
      <c r="E105" s="5">
        <f t="shared" si="6"/>
        <v>1500</v>
      </c>
    </row>
    <row r="106" spans="1:5">
      <c r="A106" s="9">
        <v>25020</v>
      </c>
      <c r="B106" s="5">
        <v>1500</v>
      </c>
      <c r="C106" s="5"/>
      <c r="D106" s="5">
        <f t="shared" si="5"/>
        <v>1500</v>
      </c>
      <c r="E106" s="5">
        <f t="shared" si="6"/>
        <v>1500</v>
      </c>
    </row>
    <row r="107" spans="1:5">
      <c r="A107" s="9">
        <v>25051</v>
      </c>
      <c r="B107" s="5">
        <v>1500</v>
      </c>
      <c r="C107" s="5"/>
      <c r="D107" s="5">
        <f t="shared" si="5"/>
        <v>1500</v>
      </c>
      <c r="E107" s="5">
        <f t="shared" si="6"/>
        <v>1500</v>
      </c>
    </row>
    <row r="108" spans="1:5">
      <c r="A108" s="9">
        <v>25082</v>
      </c>
      <c r="B108" s="5">
        <v>1500</v>
      </c>
      <c r="C108" s="5"/>
      <c r="D108" s="5">
        <f t="shared" si="5"/>
        <v>1500</v>
      </c>
      <c r="E108" s="5">
        <f t="shared" si="6"/>
        <v>1500</v>
      </c>
    </row>
    <row r="109" spans="1:5">
      <c r="A109" s="9">
        <v>25112</v>
      </c>
      <c r="B109" s="5">
        <v>1500</v>
      </c>
      <c r="C109" s="5"/>
      <c r="D109" s="5">
        <f t="shared" si="5"/>
        <v>1500</v>
      </c>
      <c r="E109" s="5">
        <f t="shared" si="6"/>
        <v>1500</v>
      </c>
    </row>
    <row r="110" spans="1:5">
      <c r="A110" s="9">
        <v>25143</v>
      </c>
      <c r="B110" s="5">
        <v>1500</v>
      </c>
      <c r="C110" s="5"/>
      <c r="D110" s="5">
        <f t="shared" si="5"/>
        <v>1500</v>
      </c>
      <c r="E110" s="5">
        <f t="shared" si="6"/>
        <v>1500</v>
      </c>
    </row>
    <row r="111" spans="1:5">
      <c r="A111" s="10">
        <v>25173</v>
      </c>
      <c r="B111" s="11">
        <v>1500</v>
      </c>
      <c r="C111" s="11"/>
      <c r="D111" s="11">
        <f t="shared" si="5"/>
        <v>1500</v>
      </c>
      <c r="E111" s="11">
        <f t="shared" si="6"/>
        <v>1500</v>
      </c>
    </row>
    <row r="112" spans="1:5">
      <c r="A112" s="9">
        <v>25204</v>
      </c>
      <c r="B112" s="5">
        <v>1500</v>
      </c>
      <c r="C112" s="5"/>
      <c r="D112" s="5">
        <f t="shared" si="5"/>
        <v>1500</v>
      </c>
      <c r="E112" s="5">
        <f t="shared" si="6"/>
        <v>1500</v>
      </c>
    </row>
    <row r="113" spans="1:6">
      <c r="A113" s="9">
        <v>25235</v>
      </c>
      <c r="B113" s="5">
        <v>471</v>
      </c>
      <c r="C113" s="5"/>
      <c r="D113" s="5">
        <f t="shared" si="5"/>
        <v>471</v>
      </c>
      <c r="E113" s="5">
        <f t="shared" si="6"/>
        <v>471</v>
      </c>
    </row>
    <row r="114" spans="1:6">
      <c r="A114" s="9">
        <v>25263</v>
      </c>
      <c r="B114" s="5"/>
      <c r="C114" s="5"/>
      <c r="D114" s="5" t="str">
        <f t="shared" si="5"/>
        <v/>
      </c>
      <c r="E114" s="5">
        <f>(D113+D115)/2</f>
        <v>471</v>
      </c>
    </row>
    <row r="115" spans="1:6">
      <c r="A115" s="9">
        <v>25294</v>
      </c>
      <c r="B115" s="5">
        <v>471</v>
      </c>
      <c r="C115" s="5"/>
      <c r="D115" s="5">
        <f t="shared" si="5"/>
        <v>471</v>
      </c>
      <c r="E115" s="5">
        <f t="shared" si="6"/>
        <v>471</v>
      </c>
    </row>
    <row r="116" spans="1:6">
      <c r="A116" s="9">
        <v>25324</v>
      </c>
      <c r="B116" s="5"/>
      <c r="C116" s="5"/>
      <c r="D116" s="5" t="str">
        <f t="shared" si="5"/>
        <v/>
      </c>
      <c r="E116" s="5">
        <f>E115+$F$116</f>
        <v>471</v>
      </c>
      <c r="F116">
        <f>(D120-D115)/5</f>
        <v>0</v>
      </c>
    </row>
    <row r="117" spans="1:6">
      <c r="A117" s="9">
        <v>25355</v>
      </c>
      <c r="B117" s="5"/>
      <c r="C117" s="5"/>
      <c r="D117" s="5" t="str">
        <f t="shared" si="5"/>
        <v/>
      </c>
      <c r="E117" s="5">
        <f t="shared" ref="E117:E119" si="8">E116+$F$116</f>
        <v>471</v>
      </c>
    </row>
    <row r="118" spans="1:6">
      <c r="A118" s="9">
        <v>25385</v>
      </c>
      <c r="B118" s="5"/>
      <c r="C118" s="5"/>
      <c r="D118" s="5" t="str">
        <f t="shared" si="5"/>
        <v/>
      </c>
      <c r="E118" s="5">
        <f t="shared" si="8"/>
        <v>471</v>
      </c>
    </row>
    <row r="119" spans="1:6">
      <c r="A119" s="9">
        <v>25416</v>
      </c>
      <c r="B119" s="5"/>
      <c r="C119" s="5"/>
      <c r="D119" s="5" t="str">
        <f t="shared" si="5"/>
        <v/>
      </c>
      <c r="E119" s="5">
        <f t="shared" si="8"/>
        <v>471</v>
      </c>
    </row>
    <row r="120" spans="1:6">
      <c r="A120" s="9">
        <v>25447</v>
      </c>
      <c r="B120" s="5">
        <v>471</v>
      </c>
      <c r="C120" s="5"/>
      <c r="D120" s="5">
        <f t="shared" si="5"/>
        <v>471</v>
      </c>
      <c r="E120" s="5">
        <f t="shared" si="6"/>
        <v>471</v>
      </c>
    </row>
    <row r="121" spans="1:6">
      <c r="A121" s="9">
        <v>25477</v>
      </c>
      <c r="B121" s="5"/>
      <c r="C121" s="5"/>
      <c r="D121" s="5" t="str">
        <f t="shared" si="5"/>
        <v/>
      </c>
      <c r="E121" s="5">
        <f>(D120+D122)/2</f>
        <v>471</v>
      </c>
    </row>
    <row r="122" spans="1:6">
      <c r="A122" s="9">
        <v>25508</v>
      </c>
      <c r="B122" s="5">
        <v>471</v>
      </c>
      <c r="C122" s="5"/>
      <c r="D122" s="5">
        <f t="shared" si="5"/>
        <v>471</v>
      </c>
      <c r="E122" s="5">
        <f t="shared" si="6"/>
        <v>471</v>
      </c>
    </row>
    <row r="123" spans="1:6">
      <c r="A123" s="12">
        <v>25538</v>
      </c>
      <c r="B123" s="13"/>
      <c r="C123" s="13"/>
      <c r="D123" s="11" t="str">
        <f t="shared" si="5"/>
        <v/>
      </c>
      <c r="E123" s="11">
        <f>(D122+D124)/2</f>
        <v>471</v>
      </c>
    </row>
    <row r="124" spans="1:6">
      <c r="A124" s="9">
        <v>25569</v>
      </c>
      <c r="B124" s="5">
        <v>471</v>
      </c>
      <c r="C124" s="5"/>
      <c r="D124" s="5">
        <f t="shared" si="5"/>
        <v>471</v>
      </c>
      <c r="E124" s="5">
        <f t="shared" si="6"/>
        <v>471</v>
      </c>
    </row>
    <row r="125" spans="1:6">
      <c r="A125" s="9">
        <v>25600</v>
      </c>
      <c r="B125" s="5"/>
      <c r="C125" s="5"/>
      <c r="D125" s="5" t="str">
        <f t="shared" si="5"/>
        <v/>
      </c>
      <c r="E125" s="5">
        <f>(D124+D126)/2</f>
        <v>471</v>
      </c>
    </row>
    <row r="126" spans="1:6">
      <c r="A126" s="9">
        <v>25628</v>
      </c>
      <c r="B126" s="5">
        <v>471</v>
      </c>
      <c r="C126" s="5"/>
      <c r="D126" s="5">
        <f t="shared" si="5"/>
        <v>471</v>
      </c>
      <c r="E126" s="5">
        <f t="shared" si="6"/>
        <v>471</v>
      </c>
    </row>
    <row r="127" spans="1:6">
      <c r="A127" s="9">
        <v>25659</v>
      </c>
      <c r="B127" s="5"/>
      <c r="C127" s="5"/>
      <c r="D127" s="5" t="str">
        <f t="shared" si="5"/>
        <v/>
      </c>
      <c r="E127" s="5">
        <f>(D126+D128)/2</f>
        <v>471</v>
      </c>
    </row>
    <row r="128" spans="1:6">
      <c r="A128" s="9">
        <v>25689</v>
      </c>
      <c r="B128" s="5">
        <v>471</v>
      </c>
      <c r="C128" s="5"/>
      <c r="D128" s="5">
        <f t="shared" si="5"/>
        <v>471</v>
      </c>
      <c r="E128" s="5">
        <f t="shared" si="6"/>
        <v>471</v>
      </c>
    </row>
    <row r="129" spans="1:5">
      <c r="A129" s="9">
        <v>25720</v>
      </c>
      <c r="B129" s="5"/>
      <c r="C129" s="5"/>
      <c r="D129" s="5" t="str">
        <f t="shared" si="5"/>
        <v/>
      </c>
      <c r="E129" s="5">
        <f>(D128+D130)/2</f>
        <v>471</v>
      </c>
    </row>
    <row r="130" spans="1:5">
      <c r="A130" s="9">
        <v>25750</v>
      </c>
      <c r="B130" s="5">
        <v>471</v>
      </c>
      <c r="C130" s="5"/>
      <c r="D130" s="5">
        <f t="shared" si="5"/>
        <v>471</v>
      </c>
      <c r="E130" s="5">
        <f t="shared" si="6"/>
        <v>471</v>
      </c>
    </row>
    <row r="131" spans="1:5">
      <c r="A131" s="9">
        <v>25781</v>
      </c>
      <c r="B131" s="5"/>
      <c r="C131" s="5"/>
      <c r="D131" s="5" t="str">
        <f t="shared" si="5"/>
        <v/>
      </c>
      <c r="E131" s="5">
        <f>(D130+D132)/2</f>
        <v>471</v>
      </c>
    </row>
    <row r="132" spans="1:5">
      <c r="A132" s="9">
        <v>25812</v>
      </c>
      <c r="B132" s="5">
        <v>471</v>
      </c>
      <c r="C132" s="5"/>
      <c r="D132" s="5">
        <f t="shared" si="5"/>
        <v>471</v>
      </c>
      <c r="E132" s="5">
        <f t="shared" si="6"/>
        <v>471</v>
      </c>
    </row>
    <row r="133" spans="1:5">
      <c r="A133" s="9">
        <v>25842</v>
      </c>
      <c r="B133" s="5"/>
      <c r="C133" s="5"/>
      <c r="D133" s="5" t="str">
        <f t="shared" si="5"/>
        <v/>
      </c>
      <c r="E133" s="5">
        <f>(D132+D134)/2</f>
        <v>471</v>
      </c>
    </row>
    <row r="134" spans="1:5">
      <c r="A134" s="9">
        <v>25873</v>
      </c>
      <c r="B134" s="5">
        <v>471</v>
      </c>
      <c r="C134" s="5"/>
      <c r="D134" s="5">
        <f t="shared" ref="D134:D135" si="9">IF(B134+C134&gt;0,B134+C134,"")</f>
        <v>471</v>
      </c>
      <c r="E134" s="5">
        <f t="shared" ref="E134" si="10">D134</f>
        <v>471</v>
      </c>
    </row>
    <row r="135" spans="1:5" ht="15" thickBot="1">
      <c r="A135" s="14">
        <v>25903</v>
      </c>
      <c r="B135" s="15"/>
      <c r="C135" s="15"/>
      <c r="D135" s="15" t="str">
        <f t="shared" si="9"/>
        <v/>
      </c>
      <c r="E135" s="15">
        <f>D134</f>
        <v>471</v>
      </c>
    </row>
    <row r="136" spans="1:5">
      <c r="A136" s="6"/>
      <c r="B136" s="5"/>
      <c r="C136" s="5"/>
      <c r="D136" s="5"/>
    </row>
    <row r="137" spans="1:5">
      <c r="A137" s="6"/>
      <c r="B137" s="5"/>
      <c r="C137" s="5"/>
      <c r="D137" s="5"/>
    </row>
    <row r="138" spans="1:5" ht="15">
      <c r="A138" s="16" t="s">
        <v>14</v>
      </c>
      <c r="B138" s="5"/>
      <c r="C138" s="5"/>
      <c r="D138" s="5"/>
    </row>
    <row r="139" spans="1:5" ht="15">
      <c r="A139" s="16" t="s">
        <v>15</v>
      </c>
      <c r="B139" s="5"/>
      <c r="C139" s="5"/>
      <c r="D139" s="5"/>
    </row>
    <row r="140" spans="1:5" ht="15">
      <c r="A140" s="16" t="s">
        <v>16</v>
      </c>
      <c r="B140" s="5"/>
      <c r="C140" s="5"/>
      <c r="D140" s="5"/>
    </row>
    <row r="141" spans="1:5" ht="15">
      <c r="A141" s="16" t="s">
        <v>17</v>
      </c>
      <c r="B141" s="5"/>
      <c r="C141" s="5"/>
      <c r="D141" s="5"/>
    </row>
    <row r="142" spans="1:5" ht="15">
      <c r="A142" s="16" t="s">
        <v>18</v>
      </c>
      <c r="B142" s="5"/>
      <c r="C142" s="5"/>
      <c r="D142" s="5"/>
    </row>
    <row r="143" spans="1:5" ht="15">
      <c r="A143" s="16" t="s">
        <v>19</v>
      </c>
      <c r="B143" s="5"/>
      <c r="C143" s="5"/>
      <c r="D143" s="5"/>
    </row>
    <row r="144" spans="1:5" ht="15">
      <c r="A144" s="16" t="s">
        <v>20</v>
      </c>
      <c r="B144" s="5"/>
      <c r="C144" s="5"/>
      <c r="D144" s="5"/>
    </row>
    <row r="145" spans="1:4" ht="15">
      <c r="A145" s="16" t="s">
        <v>21</v>
      </c>
      <c r="B145" s="5"/>
      <c r="C145" s="5"/>
      <c r="D145" s="5"/>
    </row>
  </sheetData>
  <mergeCells count="1">
    <mergeCell ref="A1:D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985A-2059-45C3-9ACF-393EC66E81CB}">
  <sheetPr codeName="Sheet3"/>
  <dimension ref="A1"/>
  <sheetViews>
    <sheetView workbookViewId="0">
      <selection activeCell="X8" sqref="X8"/>
    </sheetView>
  </sheetViews>
  <sheetFormatPr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Census</vt:lpstr>
      <vt:lpstr>IBM 1620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2025-04-17T03:35:02Z</dcterms:created>
  <dcterms:modified xsi:type="dcterms:W3CDTF">2025-10-14T17:38:07Z</dcterms:modified>
</cp:coreProperties>
</file>